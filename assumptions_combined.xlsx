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merHowell\Documents\"/>
    </mc:Choice>
  </mc:AlternateContent>
  <xr:revisionPtr revIDLastSave="0" documentId="13_ncr:1_{32A9F3C7-D495-40D9-96B8-12AE2F264713}" xr6:coauthVersionLast="47" xr6:coauthVersionMax="47" xr10:uidLastSave="{00000000-0000-0000-0000-000000000000}"/>
  <bookViews>
    <workbookView xWindow="-110" yWindow="-110" windowWidth="19420" windowHeight="11500" firstSheet="4" activeTab="7" xr2:uid="{A58524ED-B235-4EBF-8132-DBC8D0FFA632}"/>
  </bookViews>
  <sheets>
    <sheet name="mortality_base_rates.csv" sheetId="1" r:id="rId1"/>
    <sheet name="mortality_improvement" sheetId="2" r:id="rId2"/>
    <sheet name="mortality_age_factors" sheetId="3" r:id="rId3"/>
    <sheet name="surrender_charges" sheetId="4" r:id="rId4"/>
    <sheet name="rmd_rates" sheetId="5" r:id="rId5"/>
    <sheet name="free_withdrawal_util" sheetId="6" r:id="rId6"/>
    <sheet name="payout_factors" sheetId="7" r:id="rId7"/>
    <sheet name="surrender_predictive_mode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</calcChain>
</file>

<file path=xl/sharedStrings.xml><?xml version="1.0" encoding="utf-8"?>
<sst xmlns="http://schemas.openxmlformats.org/spreadsheetml/2006/main" count="55" uniqueCount="51">
  <si>
    <t>Attained age</t>
  </si>
  <si>
    <t>Female</t>
  </si>
  <si>
    <t>Male</t>
  </si>
  <si>
    <t>AttainedAge</t>
  </si>
  <si>
    <t>Multiplicative factor to IAM 2012</t>
  </si>
  <si>
    <t>Year</t>
  </si>
  <si>
    <t>Surrender charge</t>
  </si>
  <si>
    <t>RMDRate</t>
  </si>
  <si>
    <t>Policy year</t>
  </si>
  <si>
    <t>Utilization</t>
  </si>
  <si>
    <t>Age</t>
  </si>
  <si>
    <t>Single Life</t>
  </si>
  <si>
    <t>Term</t>
  </si>
  <si>
    <t>Factor</t>
  </si>
  <si>
    <t>(Intercept)</t>
  </si>
  <si>
    <t>poly(pmin(0, Duration - SurrenderChargePeriod), 2, raw = TRUE)1</t>
  </si>
  <si>
    <t>poly(pmin(0, Duration - SurrenderChargePeriod), 2, raw = TRUE)2</t>
  </si>
  <si>
    <t>IncomeStartedY</t>
  </si>
  <si>
    <t>Benefit_Base_Bucket[100000, 200000)</t>
  </si>
  <si>
    <t>Benefit_Base_Bucket[200000, Inf)</t>
  </si>
  <si>
    <t>Benefit_Base_Bucket[50000, 100000)</t>
  </si>
  <si>
    <t>I(pmax(0, 4 - Duration))</t>
  </si>
  <si>
    <t>SurrenderChargePeriod</t>
  </si>
  <si>
    <t>I(Duration == SurrenderChargePeriod + 1)TRUE</t>
  </si>
  <si>
    <t>poly(if_else(Duration &gt; SurrenderChargePeriod, 1, 0)/pmax(1, pmin(3, Duration - SurrenderChargePeriod)), 2, raw = TRUE)1</t>
  </si>
  <si>
    <t>poly(if_else(Duration &gt; SurrenderChargePeriod, 1, 0)/pmax(1, pmin(3, Duration - SurrenderChargePeriod)), 2, raw = TRUE)2</t>
  </si>
  <si>
    <t>I(pmax(0.5, pmin(1, ITMness)))</t>
  </si>
  <si>
    <t>I(pmax(1, pmin(2, ITMness)))</t>
  </si>
  <si>
    <t>I(pmax(0, ChangeInTreasury))</t>
  </si>
  <si>
    <t>poly(pmin(0, Duration - SurrenderChargePeriod), 2, raw = TRUE)1:IncomeStartedY</t>
  </si>
  <si>
    <t>poly(pmin(0, Duration - SurrenderChargePeriod), 2, raw = TRUE)2:IncomeStartedY</t>
  </si>
  <si>
    <t>poly(pmin(0, Duration - SurrenderChargePeriod), 2, raw = TRUE)1:Benefit_Base_Bucket[100000, 200000)</t>
  </si>
  <si>
    <t>poly(pmin(0, Duration - SurrenderChargePeriod), 2, raw = TRUE)2:Benefit_Base_Bucket[100000, 200000)</t>
  </si>
  <si>
    <t>poly(pmin(0, Duration - SurrenderChargePeriod), 2, raw = TRUE)1:Benefit_Base_Bucket[200000, Inf)</t>
  </si>
  <si>
    <t>poly(pmin(0, Duration - SurrenderChargePeriod), 2, raw = TRUE)2:Benefit_Base_Bucket[200000, Inf)</t>
  </si>
  <si>
    <t>poly(pmin(0, Duration - SurrenderChargePeriod), 2, raw = TRUE)1:Benefit_Base_Bucket[50000, 100000)</t>
  </si>
  <si>
    <t>poly(pmin(0, Duration - SurrenderChargePeriod), 2, raw = TRUE)2:Benefit_Base_Bucket[50000, 100000)</t>
  </si>
  <si>
    <t>IncomeStartedY:Benefit_Base_Bucket[100000, 200000)</t>
  </si>
  <si>
    <t>IncomeStartedY:Benefit_Base_Bucket[200000, Inf)</t>
  </si>
  <si>
    <t>IncomeStartedY:Benefit_Base_Bucket[50000, 100000)</t>
  </si>
  <si>
    <t>IncomeStartedY:I(Duration == SurrenderChargePeriod + 1)TRUE</t>
  </si>
  <si>
    <t>Benefit_Base_Bucket[100000, 200000):I(Duration == SurrenderChargePeriod + 1)TRUE</t>
  </si>
  <si>
    <t>Benefit_Base_Bucket[200000, Inf):I(Duration == SurrenderChargePeriod + 1)TRUE</t>
  </si>
  <si>
    <t>Benefit_Base_Bucket[50000, 100000):I(Duration == SurrenderChargePeriod + 1)TRUE</t>
  </si>
  <si>
    <t>Benefit_Base_Bucket[100000, 200000):poly(if_else(Duration &gt; SurrenderChargePeriod, 1, 0)/pmax(1, pmin(3, Duration - SurrenderChargePeriod)), 2, raw = TRUE)1</t>
  </si>
  <si>
    <t>Benefit_Base_Bucket[200000, Inf):poly(if_else(Duration &gt; SurrenderChargePeriod, 1, 0)/pmax(1, pmin(3, Duration - SurrenderChargePeriod)), 2, raw = TRUE)1</t>
  </si>
  <si>
    <t>Benefit_Base_Bucket[50000, 100000):poly(if_else(Duration &gt; SurrenderChargePeriod, 1, 0)/pmax(1, pmin(3, Duration - SurrenderChargePeriod)), 2, raw = TRUE)1</t>
  </si>
  <si>
    <t>Benefit_Base_Bucket[100000, 200000):poly(if_else(Duration &gt; SurrenderChargePeriod, 1, 0)/pmax(1, pmin(3, Duration - SurrenderChargePeriod)), 2, raw = TRUE)2</t>
  </si>
  <si>
    <t>Benefit_Base_Bucket[200000, Inf):poly(if_else(Duration &gt; SurrenderChargePeriod, 1, 0)/pmax(1, pmin(3, Duration - SurrenderChargePeriod)), 2, raw = TRUE)2</t>
  </si>
  <si>
    <t>Benefit_Base_Bucket[50000, 100000):poly(if_else(Duration &gt; SurrenderChargePeriod, 1, 0)/pmax(1, pmin(3, Duration - SurrenderChargePeriod)), 2, raw = TRUE)2</t>
  </si>
  <si>
    <t>IncomeStartedY:I(pmax(0.5, pmin(1, ITMness)))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</si>
</sst>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rgb="FF333333"/>
      <name val="Arial"/>
      <family val="2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F2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9" fontId="3" fillId="0" borderId="0" xfId="0" applyNumberFormat="1" applyFont="1" applyAlignment="1">
      <alignment horizontal="center" vertical="top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0" fontId="0" fillId="0" borderId="0" xfId="1" applyNumberFormat="1" applyFont="1"/>
    <xf numFmtId="9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9C43-DF80-4BC5-9168-76778DE6AC89}">
  <dimension ref="A1:C123"/>
  <sheetViews>
    <sheetView workbookViewId="0">
      <selection sqref="A1:C12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1.8010000000000001E-3</v>
      </c>
      <c r="C2">
        <v>1.7830000000000001E-3</v>
      </c>
    </row>
    <row r="3" spans="1:3" x14ac:dyDescent="0.35">
      <c r="A3">
        <v>1</v>
      </c>
      <c r="B3">
        <v>4.4999999999999999E-4</v>
      </c>
      <c r="C3">
        <v>4.46E-4</v>
      </c>
    </row>
    <row r="4" spans="1:3" x14ac:dyDescent="0.35">
      <c r="A4">
        <v>2</v>
      </c>
      <c r="B4">
        <v>2.8699999999999998E-4</v>
      </c>
      <c r="C4">
        <v>3.0600000000000001E-4</v>
      </c>
    </row>
    <row r="5" spans="1:3" x14ac:dyDescent="0.35">
      <c r="A5">
        <v>3</v>
      </c>
      <c r="B5">
        <v>1.9900000000000001E-4</v>
      </c>
      <c r="C5">
        <v>2.5399999999999999E-4</v>
      </c>
    </row>
    <row r="6" spans="1:3" x14ac:dyDescent="0.35">
      <c r="A6">
        <v>4</v>
      </c>
      <c r="B6">
        <v>1.5200000000000001E-4</v>
      </c>
      <c r="C6">
        <v>1.93E-4</v>
      </c>
    </row>
    <row r="7" spans="1:3" x14ac:dyDescent="0.35">
      <c r="A7">
        <v>5</v>
      </c>
      <c r="B7">
        <v>1.3899999999999999E-4</v>
      </c>
      <c r="C7">
        <v>1.8599999999999999E-4</v>
      </c>
    </row>
    <row r="8" spans="1:3" x14ac:dyDescent="0.35">
      <c r="A8">
        <v>6</v>
      </c>
      <c r="B8">
        <v>1.2999999999999999E-4</v>
      </c>
      <c r="C8">
        <v>1.84E-4</v>
      </c>
    </row>
    <row r="9" spans="1:3" x14ac:dyDescent="0.35">
      <c r="A9">
        <v>7</v>
      </c>
      <c r="B9">
        <v>1.22E-4</v>
      </c>
      <c r="C9">
        <v>1.7699999999999999E-4</v>
      </c>
    </row>
    <row r="10" spans="1:3" x14ac:dyDescent="0.35">
      <c r="A10">
        <v>8</v>
      </c>
      <c r="B10">
        <v>1.05E-4</v>
      </c>
      <c r="C10">
        <v>1.5899999999999999E-4</v>
      </c>
    </row>
    <row r="11" spans="1:3" x14ac:dyDescent="0.35">
      <c r="A11">
        <v>9</v>
      </c>
      <c r="B11" s="1">
        <v>9.7999999999999997E-5</v>
      </c>
      <c r="C11">
        <v>1.4300000000000001E-4</v>
      </c>
    </row>
    <row r="12" spans="1:3" x14ac:dyDescent="0.35">
      <c r="A12">
        <v>10</v>
      </c>
      <c r="B12" s="1">
        <v>9.3999999999999994E-5</v>
      </c>
      <c r="C12">
        <v>1.26E-4</v>
      </c>
    </row>
    <row r="13" spans="1:3" x14ac:dyDescent="0.35">
      <c r="A13">
        <v>11</v>
      </c>
      <c r="B13" s="1">
        <v>9.6000000000000002E-5</v>
      </c>
      <c r="C13">
        <v>1.2300000000000001E-4</v>
      </c>
    </row>
    <row r="14" spans="1:3" x14ac:dyDescent="0.35">
      <c r="A14">
        <v>12</v>
      </c>
      <c r="B14">
        <v>1.05E-4</v>
      </c>
      <c r="C14">
        <v>1.47E-4</v>
      </c>
    </row>
    <row r="15" spans="1:3" x14ac:dyDescent="0.35">
      <c r="A15">
        <v>13</v>
      </c>
      <c r="B15">
        <v>1.2E-4</v>
      </c>
      <c r="C15">
        <v>1.8799999999999999E-4</v>
      </c>
    </row>
    <row r="16" spans="1:3" x14ac:dyDescent="0.35">
      <c r="A16">
        <v>14</v>
      </c>
      <c r="B16">
        <v>1.46E-4</v>
      </c>
      <c r="C16">
        <v>2.3599999999999999E-4</v>
      </c>
    </row>
    <row r="17" spans="1:3" x14ac:dyDescent="0.35">
      <c r="A17">
        <v>15</v>
      </c>
      <c r="B17">
        <v>1.74E-4</v>
      </c>
      <c r="C17">
        <v>2.8200000000000002E-4</v>
      </c>
    </row>
    <row r="18" spans="1:3" x14ac:dyDescent="0.35">
      <c r="A18">
        <v>16</v>
      </c>
      <c r="B18">
        <v>1.9900000000000001E-4</v>
      </c>
      <c r="C18">
        <v>3.2499999999999999E-4</v>
      </c>
    </row>
    <row r="19" spans="1:3" x14ac:dyDescent="0.35">
      <c r="A19">
        <v>17</v>
      </c>
      <c r="B19">
        <v>2.2000000000000001E-4</v>
      </c>
      <c r="C19">
        <v>3.6400000000000001E-4</v>
      </c>
    </row>
    <row r="20" spans="1:3" x14ac:dyDescent="0.35">
      <c r="A20">
        <v>18</v>
      </c>
      <c r="B20">
        <v>2.34E-4</v>
      </c>
      <c r="C20">
        <v>3.9899999999999999E-4</v>
      </c>
    </row>
    <row r="21" spans="1:3" x14ac:dyDescent="0.35">
      <c r="A21">
        <v>19</v>
      </c>
      <c r="B21">
        <v>2.4499999999999999E-4</v>
      </c>
      <c r="C21">
        <v>4.2999999999999999E-4</v>
      </c>
    </row>
    <row r="22" spans="1:3" x14ac:dyDescent="0.35">
      <c r="A22">
        <v>20</v>
      </c>
      <c r="B22">
        <v>2.5300000000000002E-4</v>
      </c>
      <c r="C22">
        <v>4.5899999999999999E-4</v>
      </c>
    </row>
    <row r="23" spans="1:3" x14ac:dyDescent="0.35">
      <c r="A23">
        <v>21</v>
      </c>
      <c r="B23">
        <v>2.5999999999999998E-4</v>
      </c>
      <c r="C23">
        <v>4.9200000000000003E-4</v>
      </c>
    </row>
    <row r="24" spans="1:3" x14ac:dyDescent="0.35">
      <c r="A24">
        <v>22</v>
      </c>
      <c r="B24">
        <v>2.6600000000000001E-4</v>
      </c>
      <c r="C24">
        <v>5.2599999999999999E-4</v>
      </c>
    </row>
    <row r="25" spans="1:3" x14ac:dyDescent="0.35">
      <c r="A25">
        <v>23</v>
      </c>
      <c r="B25">
        <v>2.72E-4</v>
      </c>
      <c r="C25">
        <v>5.6899999999999995E-4</v>
      </c>
    </row>
    <row r="26" spans="1:3" x14ac:dyDescent="0.35">
      <c r="A26">
        <v>24</v>
      </c>
      <c r="B26">
        <v>2.7500000000000002E-4</v>
      </c>
      <c r="C26">
        <v>6.1600000000000001E-4</v>
      </c>
    </row>
    <row r="27" spans="1:3" x14ac:dyDescent="0.35">
      <c r="A27">
        <v>25</v>
      </c>
      <c r="B27">
        <v>2.7700000000000001E-4</v>
      </c>
      <c r="C27">
        <v>6.69E-4</v>
      </c>
    </row>
    <row r="28" spans="1:3" x14ac:dyDescent="0.35">
      <c r="A28">
        <v>26</v>
      </c>
      <c r="B28">
        <v>2.8400000000000002E-4</v>
      </c>
      <c r="C28">
        <v>7.2800000000000002E-4</v>
      </c>
    </row>
    <row r="29" spans="1:3" x14ac:dyDescent="0.35">
      <c r="A29">
        <v>27</v>
      </c>
      <c r="B29">
        <v>2.9E-4</v>
      </c>
      <c r="C29">
        <v>7.6400000000000003E-4</v>
      </c>
    </row>
    <row r="30" spans="1:3" x14ac:dyDescent="0.35">
      <c r="A30">
        <v>28</v>
      </c>
      <c r="B30" s="1">
        <v>2.9999999999999997E-4</v>
      </c>
      <c r="C30">
        <v>7.8899999999999999E-4</v>
      </c>
    </row>
    <row r="31" spans="1:3" x14ac:dyDescent="0.35">
      <c r="A31">
        <v>29</v>
      </c>
      <c r="B31">
        <v>3.1300000000000002E-4</v>
      </c>
      <c r="C31">
        <v>8.0800000000000002E-4</v>
      </c>
    </row>
    <row r="32" spans="1:3" x14ac:dyDescent="0.35">
      <c r="A32">
        <v>30</v>
      </c>
      <c r="B32">
        <v>3.3300000000000002E-4</v>
      </c>
      <c r="C32">
        <v>8.2399999999999997E-4</v>
      </c>
    </row>
    <row r="33" spans="1:3" x14ac:dyDescent="0.35">
      <c r="A33">
        <v>31</v>
      </c>
      <c r="B33">
        <v>3.57E-4</v>
      </c>
      <c r="C33">
        <v>8.34E-4</v>
      </c>
    </row>
    <row r="34" spans="1:3" x14ac:dyDescent="0.35">
      <c r="A34">
        <v>32</v>
      </c>
      <c r="B34">
        <v>3.7500000000000001E-4</v>
      </c>
      <c r="C34">
        <v>8.3799999999999999E-4</v>
      </c>
    </row>
    <row r="35" spans="1:3" x14ac:dyDescent="0.35">
      <c r="A35">
        <v>33</v>
      </c>
      <c r="B35">
        <v>3.8999999999999999E-4</v>
      </c>
      <c r="C35">
        <v>8.2799999999999996E-4</v>
      </c>
    </row>
    <row r="36" spans="1:3" x14ac:dyDescent="0.35">
      <c r="A36">
        <v>34</v>
      </c>
      <c r="B36">
        <v>4.0499999999999998E-4</v>
      </c>
      <c r="C36">
        <v>8.0800000000000002E-4</v>
      </c>
    </row>
    <row r="37" spans="1:3" x14ac:dyDescent="0.35">
      <c r="A37">
        <v>35</v>
      </c>
      <c r="B37">
        <v>4.2400000000000001E-4</v>
      </c>
      <c r="C37">
        <v>7.8899999999999999E-4</v>
      </c>
    </row>
    <row r="38" spans="1:3" x14ac:dyDescent="0.35">
      <c r="A38">
        <v>36</v>
      </c>
      <c r="B38">
        <v>4.4700000000000002E-4</v>
      </c>
      <c r="C38">
        <v>7.8299999999999995E-4</v>
      </c>
    </row>
    <row r="39" spans="1:3" x14ac:dyDescent="0.35">
      <c r="A39">
        <v>37</v>
      </c>
      <c r="B39">
        <v>4.7600000000000002E-4</v>
      </c>
      <c r="C39" s="1">
        <v>8.0000000000000004E-4</v>
      </c>
    </row>
    <row r="40" spans="1:3" x14ac:dyDescent="0.35">
      <c r="A40">
        <v>38</v>
      </c>
      <c r="B40">
        <v>5.1400000000000003E-4</v>
      </c>
      <c r="C40">
        <v>8.3699999999999996E-4</v>
      </c>
    </row>
    <row r="41" spans="1:3" x14ac:dyDescent="0.35">
      <c r="A41">
        <v>39</v>
      </c>
      <c r="B41">
        <v>5.5999999999999995E-4</v>
      </c>
      <c r="C41">
        <v>8.8900000000000003E-4</v>
      </c>
    </row>
    <row r="42" spans="1:3" x14ac:dyDescent="0.35">
      <c r="A42">
        <v>40</v>
      </c>
      <c r="B42">
        <v>6.1300000000000005E-4</v>
      </c>
      <c r="C42">
        <v>9.5500000000000001E-4</v>
      </c>
    </row>
    <row r="43" spans="1:3" x14ac:dyDescent="0.35">
      <c r="A43">
        <v>41</v>
      </c>
      <c r="B43">
        <v>6.6699999999999995E-4</v>
      </c>
      <c r="C43">
        <v>1.029E-3</v>
      </c>
    </row>
    <row r="44" spans="1:3" x14ac:dyDescent="0.35">
      <c r="A44">
        <v>42</v>
      </c>
      <c r="B44">
        <v>7.2300000000000001E-4</v>
      </c>
      <c r="C44">
        <v>1.1100000000000001E-3</v>
      </c>
    </row>
    <row r="45" spans="1:3" x14ac:dyDescent="0.35">
      <c r="A45">
        <v>43</v>
      </c>
      <c r="B45">
        <v>7.7399999999999995E-4</v>
      </c>
      <c r="C45">
        <v>1.188E-3</v>
      </c>
    </row>
    <row r="46" spans="1:3" x14ac:dyDescent="0.35">
      <c r="A46">
        <v>44</v>
      </c>
      <c r="B46">
        <v>8.2299999999999995E-4</v>
      </c>
      <c r="C46">
        <v>1.268E-3</v>
      </c>
    </row>
    <row r="47" spans="1:3" x14ac:dyDescent="0.35">
      <c r="A47">
        <v>45</v>
      </c>
      <c r="B47">
        <v>8.6600000000000002E-4</v>
      </c>
      <c r="C47">
        <v>1.3550000000000001E-3</v>
      </c>
    </row>
    <row r="48" spans="1:3" x14ac:dyDescent="0.35">
      <c r="A48">
        <v>46</v>
      </c>
      <c r="B48">
        <v>9.1699999999999995E-4</v>
      </c>
      <c r="C48">
        <v>1.464E-3</v>
      </c>
    </row>
    <row r="49" spans="1:3" x14ac:dyDescent="0.35">
      <c r="A49">
        <v>47</v>
      </c>
      <c r="B49">
        <v>9.8299999999999993E-4</v>
      </c>
      <c r="C49">
        <v>1.6149999999999999E-3</v>
      </c>
    </row>
    <row r="50" spans="1:3" x14ac:dyDescent="0.35">
      <c r="A50">
        <v>48</v>
      </c>
      <c r="B50">
        <v>1.072E-3</v>
      </c>
      <c r="C50">
        <v>1.8079999999999999E-3</v>
      </c>
    </row>
    <row r="51" spans="1:3" x14ac:dyDescent="0.35">
      <c r="A51">
        <v>49</v>
      </c>
      <c r="B51">
        <v>1.168E-3</v>
      </c>
      <c r="C51">
        <v>2.032E-3</v>
      </c>
    </row>
    <row r="52" spans="1:3" x14ac:dyDescent="0.35">
      <c r="A52">
        <v>50</v>
      </c>
      <c r="B52">
        <v>1.2899999999999999E-3</v>
      </c>
      <c r="C52">
        <v>2.2850000000000001E-3</v>
      </c>
    </row>
    <row r="53" spans="1:3" x14ac:dyDescent="0.35">
      <c r="A53">
        <v>51</v>
      </c>
      <c r="B53">
        <v>1.4530000000000001E-3</v>
      </c>
      <c r="C53">
        <v>2.5569999999999998E-3</v>
      </c>
    </row>
    <row r="54" spans="1:3" x14ac:dyDescent="0.35">
      <c r="A54">
        <v>52</v>
      </c>
      <c r="B54">
        <v>1.622E-3</v>
      </c>
      <c r="C54">
        <v>2.8279999999999998E-3</v>
      </c>
    </row>
    <row r="55" spans="1:3" x14ac:dyDescent="0.35">
      <c r="A55">
        <v>53</v>
      </c>
      <c r="B55">
        <v>1.792E-3</v>
      </c>
      <c r="C55">
        <v>3.088E-3</v>
      </c>
    </row>
    <row r="56" spans="1:3" x14ac:dyDescent="0.35">
      <c r="A56">
        <v>54</v>
      </c>
      <c r="B56">
        <v>1.9719999999999998E-3</v>
      </c>
      <c r="C56">
        <v>3.3449999999999999E-3</v>
      </c>
    </row>
    <row r="57" spans="1:3" x14ac:dyDescent="0.35">
      <c r="A57">
        <v>55</v>
      </c>
      <c r="B57">
        <v>2.166E-3</v>
      </c>
      <c r="C57">
        <v>3.6159999999999999E-3</v>
      </c>
    </row>
    <row r="58" spans="1:3" x14ac:dyDescent="0.35">
      <c r="A58">
        <v>56</v>
      </c>
      <c r="B58">
        <v>2.3930000000000002E-3</v>
      </c>
      <c r="C58">
        <v>3.9220000000000001E-3</v>
      </c>
    </row>
    <row r="59" spans="1:3" x14ac:dyDescent="0.35">
      <c r="A59">
        <v>57</v>
      </c>
      <c r="B59">
        <v>2.666E-3</v>
      </c>
      <c r="C59">
        <v>4.2719999999999998E-3</v>
      </c>
    </row>
    <row r="60" spans="1:3" x14ac:dyDescent="0.35">
      <c r="A60">
        <v>58</v>
      </c>
      <c r="B60">
        <v>3.0000000000000001E-3</v>
      </c>
      <c r="C60">
        <v>4.6810000000000003E-3</v>
      </c>
    </row>
    <row r="61" spans="1:3" x14ac:dyDescent="0.35">
      <c r="A61">
        <v>59</v>
      </c>
      <c r="B61">
        <v>3.3930000000000002E-3</v>
      </c>
      <c r="C61">
        <v>5.1460000000000004E-3</v>
      </c>
    </row>
    <row r="62" spans="1:3" x14ac:dyDescent="0.35">
      <c r="A62">
        <v>60</v>
      </c>
      <c r="B62">
        <v>3.8440000000000002E-3</v>
      </c>
      <c r="C62">
        <v>5.6620000000000004E-3</v>
      </c>
    </row>
    <row r="63" spans="1:3" x14ac:dyDescent="0.35">
      <c r="A63">
        <v>61</v>
      </c>
      <c r="B63">
        <v>4.352E-3</v>
      </c>
      <c r="C63">
        <v>6.2370000000000004E-3</v>
      </c>
    </row>
    <row r="64" spans="1:3" x14ac:dyDescent="0.35">
      <c r="A64">
        <v>62</v>
      </c>
      <c r="B64">
        <v>4.8989999999999997E-3</v>
      </c>
      <c r="C64">
        <v>6.8539999999999998E-3</v>
      </c>
    </row>
    <row r="65" spans="1:3" x14ac:dyDescent="0.35">
      <c r="A65">
        <v>63</v>
      </c>
      <c r="B65">
        <v>5.4819999999999999E-3</v>
      </c>
      <c r="C65">
        <v>7.5100000000000002E-3</v>
      </c>
    </row>
    <row r="66" spans="1:3" x14ac:dyDescent="0.35">
      <c r="A66">
        <v>64</v>
      </c>
      <c r="B66">
        <v>6.1180000000000002E-3</v>
      </c>
      <c r="C66">
        <v>8.2199999999999999E-3</v>
      </c>
    </row>
    <row r="67" spans="1:3" x14ac:dyDescent="0.35">
      <c r="A67">
        <v>65</v>
      </c>
      <c r="B67">
        <v>6.829E-3</v>
      </c>
      <c r="C67">
        <v>9.0069999999999994E-3</v>
      </c>
    </row>
    <row r="68" spans="1:3" x14ac:dyDescent="0.35">
      <c r="A68">
        <v>66</v>
      </c>
      <c r="B68">
        <v>7.2789999999999999E-3</v>
      </c>
      <c r="C68">
        <v>9.4970000000000002E-3</v>
      </c>
    </row>
    <row r="69" spans="1:3" x14ac:dyDescent="0.35">
      <c r="A69">
        <v>67</v>
      </c>
      <c r="B69">
        <v>7.8209999999999998E-3</v>
      </c>
      <c r="C69">
        <v>1.0085E-2</v>
      </c>
    </row>
    <row r="70" spans="1:3" x14ac:dyDescent="0.35">
      <c r="A70">
        <v>68</v>
      </c>
      <c r="B70">
        <v>8.4749999999999999E-3</v>
      </c>
      <c r="C70">
        <v>1.0787E-2</v>
      </c>
    </row>
    <row r="71" spans="1:3" x14ac:dyDescent="0.35">
      <c r="A71">
        <v>69</v>
      </c>
      <c r="B71">
        <v>9.2339999999999992E-3</v>
      </c>
      <c r="C71">
        <v>1.1625E-2</v>
      </c>
    </row>
    <row r="72" spans="1:3" x14ac:dyDescent="0.35">
      <c r="A72">
        <v>70</v>
      </c>
      <c r="B72">
        <v>1.0083E-2</v>
      </c>
      <c r="C72">
        <v>1.2619E-2</v>
      </c>
    </row>
    <row r="73" spans="1:3" x14ac:dyDescent="0.35">
      <c r="A73">
        <v>71</v>
      </c>
      <c r="B73">
        <v>1.1011E-2</v>
      </c>
      <c r="C73">
        <v>1.3798E-2</v>
      </c>
    </row>
    <row r="74" spans="1:3" x14ac:dyDescent="0.35">
      <c r="A74">
        <v>72</v>
      </c>
      <c r="B74">
        <v>1.2030000000000001E-2</v>
      </c>
      <c r="C74">
        <v>1.5195E-2</v>
      </c>
    </row>
    <row r="75" spans="1:3" x14ac:dyDescent="0.35">
      <c r="A75">
        <v>73</v>
      </c>
      <c r="B75">
        <v>1.3154000000000001E-2</v>
      </c>
      <c r="C75">
        <v>1.6833999999999998E-2</v>
      </c>
    </row>
    <row r="76" spans="1:3" x14ac:dyDescent="0.35">
      <c r="A76">
        <v>74</v>
      </c>
      <c r="B76">
        <v>1.4415000000000001E-2</v>
      </c>
      <c r="C76">
        <v>1.8733E-2</v>
      </c>
    </row>
    <row r="77" spans="1:3" x14ac:dyDescent="0.35">
      <c r="A77">
        <v>75</v>
      </c>
      <c r="B77">
        <v>1.5869000000000001E-2</v>
      </c>
      <c r="C77">
        <v>2.0905E-2</v>
      </c>
    </row>
    <row r="78" spans="1:3" x14ac:dyDescent="0.35">
      <c r="A78">
        <v>76</v>
      </c>
      <c r="B78">
        <v>1.7555000000000001E-2</v>
      </c>
      <c r="C78">
        <v>2.3366999999999999E-2</v>
      </c>
    </row>
    <row r="79" spans="1:3" x14ac:dyDescent="0.35">
      <c r="A79">
        <v>77</v>
      </c>
      <c r="B79">
        <v>1.95E-2</v>
      </c>
      <c r="C79">
        <v>2.6155000000000001E-2</v>
      </c>
    </row>
    <row r="80" spans="1:3" x14ac:dyDescent="0.35">
      <c r="A80">
        <v>78</v>
      </c>
      <c r="B80">
        <v>2.1758E-2</v>
      </c>
      <c r="C80">
        <v>2.9305999999999999E-2</v>
      </c>
    </row>
    <row r="81" spans="1:3" x14ac:dyDescent="0.35">
      <c r="A81">
        <v>79</v>
      </c>
      <c r="B81">
        <v>2.4412E-2</v>
      </c>
      <c r="C81">
        <v>3.2857999999999998E-2</v>
      </c>
    </row>
    <row r="82" spans="1:3" x14ac:dyDescent="0.35">
      <c r="A82">
        <v>80</v>
      </c>
      <c r="B82">
        <v>2.7578999999999999E-2</v>
      </c>
      <c r="C82">
        <v>3.6927000000000001E-2</v>
      </c>
    </row>
    <row r="83" spans="1:3" x14ac:dyDescent="0.35">
      <c r="A83">
        <v>81</v>
      </c>
      <c r="B83">
        <v>3.1501000000000001E-2</v>
      </c>
      <c r="C83">
        <v>4.1702999999999997E-2</v>
      </c>
    </row>
    <row r="84" spans="1:3" x14ac:dyDescent="0.35">
      <c r="A84">
        <v>82</v>
      </c>
      <c r="B84">
        <v>3.6122000000000001E-2</v>
      </c>
      <c r="C84">
        <v>4.6956999999999999E-2</v>
      </c>
    </row>
    <row r="85" spans="1:3" x14ac:dyDescent="0.35">
      <c r="A85">
        <v>83</v>
      </c>
      <c r="B85">
        <v>4.1477E-2</v>
      </c>
      <c r="C85">
        <v>5.2713000000000003E-2</v>
      </c>
    </row>
    <row r="86" spans="1:3" x14ac:dyDescent="0.35">
      <c r="A86">
        <v>84</v>
      </c>
      <c r="B86">
        <v>4.7588999999999999E-2</v>
      </c>
      <c r="C86">
        <v>5.9147999999999999E-2</v>
      </c>
    </row>
    <row r="87" spans="1:3" x14ac:dyDescent="0.35">
      <c r="A87">
        <v>85</v>
      </c>
      <c r="B87">
        <v>5.4441000000000003E-2</v>
      </c>
      <c r="C87">
        <v>6.6504999999999995E-2</v>
      </c>
    </row>
    <row r="88" spans="1:3" x14ac:dyDescent="0.35">
      <c r="A88">
        <v>86</v>
      </c>
      <c r="B88">
        <v>6.1971999999999999E-2</v>
      </c>
      <c r="C88">
        <v>7.5014999999999998E-2</v>
      </c>
    </row>
    <row r="89" spans="1:3" x14ac:dyDescent="0.35">
      <c r="A89">
        <v>87</v>
      </c>
      <c r="B89">
        <v>7.0154999999999995E-2</v>
      </c>
      <c r="C89">
        <v>8.4822999999999996E-2</v>
      </c>
    </row>
    <row r="90" spans="1:3" x14ac:dyDescent="0.35">
      <c r="A90">
        <v>88</v>
      </c>
      <c r="B90">
        <v>7.8963000000000005E-2</v>
      </c>
      <c r="C90">
        <v>9.5987000000000003E-2</v>
      </c>
    </row>
    <row r="91" spans="1:3" x14ac:dyDescent="0.35">
      <c r="A91">
        <v>89</v>
      </c>
      <c r="B91">
        <v>8.8335999999999998E-2</v>
      </c>
      <c r="C91">
        <v>0.108482</v>
      </c>
    </row>
    <row r="92" spans="1:3" x14ac:dyDescent="0.35">
      <c r="A92">
        <v>90</v>
      </c>
      <c r="B92">
        <v>9.8197000000000007E-2</v>
      </c>
      <c r="C92">
        <v>0.122214</v>
      </c>
    </row>
    <row r="93" spans="1:3" x14ac:dyDescent="0.35">
      <c r="A93">
        <v>91</v>
      </c>
      <c r="B93">
        <v>0.108323</v>
      </c>
      <c r="C93">
        <v>0.136799</v>
      </c>
    </row>
    <row r="94" spans="1:3" x14ac:dyDescent="0.35">
      <c r="A94">
        <v>92</v>
      </c>
      <c r="B94">
        <v>0.119188</v>
      </c>
      <c r="C94">
        <v>0.15240899999999999</v>
      </c>
    </row>
    <row r="95" spans="1:3" x14ac:dyDescent="0.35">
      <c r="A95">
        <v>93</v>
      </c>
      <c r="B95">
        <v>0.13133400000000001</v>
      </c>
      <c r="C95">
        <v>0.16907800000000001</v>
      </c>
    </row>
    <row r="96" spans="1:3" x14ac:dyDescent="0.35">
      <c r="A96">
        <v>94</v>
      </c>
      <c r="B96">
        <v>0.14552100000000001</v>
      </c>
      <c r="C96">
        <v>0.18688199999999999</v>
      </c>
    </row>
    <row r="97" spans="1:3" x14ac:dyDescent="0.35">
      <c r="A97">
        <v>95</v>
      </c>
      <c r="B97">
        <v>0.16272200000000001</v>
      </c>
      <c r="C97">
        <v>0.205844</v>
      </c>
    </row>
    <row r="98" spans="1:3" x14ac:dyDescent="0.35">
      <c r="A98">
        <v>96</v>
      </c>
      <c r="B98">
        <v>0.18212</v>
      </c>
      <c r="C98">
        <v>0.219247</v>
      </c>
    </row>
    <row r="99" spans="1:3" x14ac:dyDescent="0.35">
      <c r="A99">
        <v>97</v>
      </c>
      <c r="B99">
        <v>0.19966100000000001</v>
      </c>
      <c r="C99">
        <v>0.23861199999999999</v>
      </c>
    </row>
    <row r="100" spans="1:3" x14ac:dyDescent="0.35">
      <c r="A100">
        <v>98</v>
      </c>
      <c r="B100">
        <v>0.217946</v>
      </c>
      <c r="C100">
        <v>0.25834099999999999</v>
      </c>
    </row>
    <row r="101" spans="1:3" x14ac:dyDescent="0.35">
      <c r="A101">
        <v>99</v>
      </c>
      <c r="B101">
        <v>0.23683399999999999</v>
      </c>
      <c r="C101">
        <v>0.27821899999999999</v>
      </c>
    </row>
    <row r="102" spans="1:3" x14ac:dyDescent="0.35">
      <c r="A102">
        <v>100</v>
      </c>
      <c r="B102">
        <v>0.256357</v>
      </c>
      <c r="C102">
        <v>0.298452</v>
      </c>
    </row>
    <row r="103" spans="1:3" x14ac:dyDescent="0.35">
      <c r="A103">
        <v>101</v>
      </c>
      <c r="B103">
        <v>0.283802</v>
      </c>
      <c r="C103">
        <v>0.32361000000000001</v>
      </c>
    </row>
    <row r="104" spans="1:3" x14ac:dyDescent="0.35">
      <c r="A104">
        <v>102</v>
      </c>
      <c r="B104">
        <v>0.30471599999999999</v>
      </c>
      <c r="C104">
        <v>0.34419100000000002</v>
      </c>
    </row>
    <row r="105" spans="1:3" x14ac:dyDescent="0.35">
      <c r="A105">
        <v>103</v>
      </c>
      <c r="B105">
        <v>0.32581900000000003</v>
      </c>
      <c r="C105">
        <v>0.36463299999999998</v>
      </c>
    </row>
    <row r="106" spans="1:3" x14ac:dyDescent="0.35">
      <c r="A106">
        <v>104</v>
      </c>
      <c r="B106">
        <v>0.34693600000000002</v>
      </c>
      <c r="C106">
        <v>0.38478299999999999</v>
      </c>
    </row>
    <row r="107" spans="1:3" x14ac:dyDescent="0.35">
      <c r="A107">
        <v>105</v>
      </c>
      <c r="B107">
        <v>0.367898</v>
      </c>
      <c r="C107">
        <v>0.4</v>
      </c>
    </row>
    <row r="108" spans="1:3" x14ac:dyDescent="0.35">
      <c r="A108">
        <v>106</v>
      </c>
      <c r="B108">
        <v>0.38760699999999998</v>
      </c>
      <c r="C108">
        <v>0.4</v>
      </c>
    </row>
    <row r="109" spans="1:3" x14ac:dyDescent="0.35">
      <c r="A109">
        <v>107</v>
      </c>
      <c r="B109">
        <v>0.4</v>
      </c>
      <c r="C109">
        <v>0.4</v>
      </c>
    </row>
    <row r="110" spans="1:3" x14ac:dyDescent="0.35">
      <c r="A110">
        <v>108</v>
      </c>
      <c r="B110">
        <v>0.4</v>
      </c>
      <c r="C110">
        <v>0.4</v>
      </c>
    </row>
    <row r="111" spans="1:3" x14ac:dyDescent="0.35">
      <c r="A111">
        <v>109</v>
      </c>
      <c r="B111">
        <v>0.4</v>
      </c>
      <c r="C111">
        <v>0.4</v>
      </c>
    </row>
    <row r="112" spans="1:3" x14ac:dyDescent="0.35">
      <c r="A112">
        <v>110</v>
      </c>
      <c r="B112">
        <v>0.4</v>
      </c>
      <c r="C112">
        <v>0.4</v>
      </c>
    </row>
    <row r="113" spans="1:3" x14ac:dyDescent="0.35">
      <c r="A113">
        <v>111</v>
      </c>
      <c r="B113">
        <v>0.4</v>
      </c>
      <c r="C113">
        <v>0.4</v>
      </c>
    </row>
    <row r="114" spans="1:3" x14ac:dyDescent="0.35">
      <c r="A114">
        <v>112</v>
      </c>
      <c r="B114">
        <v>0.4</v>
      </c>
      <c r="C114">
        <v>0.4</v>
      </c>
    </row>
    <row r="115" spans="1:3" x14ac:dyDescent="0.35">
      <c r="A115">
        <v>113</v>
      </c>
      <c r="B115">
        <v>0.4</v>
      </c>
      <c r="C115">
        <v>0.4</v>
      </c>
    </row>
    <row r="116" spans="1:3" x14ac:dyDescent="0.35">
      <c r="A116">
        <v>114</v>
      </c>
      <c r="B116">
        <v>0.4</v>
      </c>
      <c r="C116">
        <v>0.4</v>
      </c>
    </row>
    <row r="117" spans="1:3" x14ac:dyDescent="0.35">
      <c r="A117">
        <v>115</v>
      </c>
      <c r="B117">
        <v>0.4</v>
      </c>
      <c r="C117">
        <v>0.4</v>
      </c>
    </row>
    <row r="118" spans="1:3" x14ac:dyDescent="0.35">
      <c r="A118">
        <v>116</v>
      </c>
      <c r="B118">
        <v>0.4</v>
      </c>
      <c r="C118">
        <v>0.4</v>
      </c>
    </row>
    <row r="119" spans="1:3" x14ac:dyDescent="0.35">
      <c r="A119">
        <v>117</v>
      </c>
      <c r="B119">
        <v>0.4</v>
      </c>
      <c r="C119">
        <v>0.4</v>
      </c>
    </row>
    <row r="120" spans="1:3" x14ac:dyDescent="0.35">
      <c r="A120">
        <v>118</v>
      </c>
      <c r="B120">
        <v>0.4</v>
      </c>
      <c r="C120">
        <v>0.4</v>
      </c>
    </row>
    <row r="121" spans="1:3" x14ac:dyDescent="0.35">
      <c r="A121">
        <v>119</v>
      </c>
      <c r="B121">
        <v>0.4</v>
      </c>
      <c r="C121">
        <v>0.4</v>
      </c>
    </row>
    <row r="122" spans="1:3" x14ac:dyDescent="0.35">
      <c r="A122">
        <v>120</v>
      </c>
      <c r="B122">
        <v>0.4</v>
      </c>
      <c r="C122">
        <v>0.4</v>
      </c>
    </row>
    <row r="123" spans="1:3" x14ac:dyDescent="0.35">
      <c r="A123">
        <v>121</v>
      </c>
      <c r="B123">
        <v>1</v>
      </c>
      <c r="C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10E4-1DFD-46B8-985E-D76795D8BCA6}">
  <dimension ref="A1:C107"/>
  <sheetViews>
    <sheetView workbookViewId="0">
      <selection sqref="A1:C107"/>
    </sheetView>
  </sheetViews>
  <sheetFormatPr defaultRowHeight="14.5" x14ac:dyDescent="0.35"/>
  <sheetData>
    <row r="1" spans="1:3" x14ac:dyDescent="0.35">
      <c r="A1" t="s">
        <v>3</v>
      </c>
      <c r="B1" t="s">
        <v>1</v>
      </c>
      <c r="C1" t="s">
        <v>2</v>
      </c>
    </row>
    <row r="2" spans="1:3" x14ac:dyDescent="0.35">
      <c r="A2">
        <v>0</v>
      </c>
      <c r="B2">
        <v>0.01</v>
      </c>
      <c r="C2">
        <v>0.01</v>
      </c>
    </row>
    <row r="3" spans="1:3" x14ac:dyDescent="0.35">
      <c r="A3">
        <v>1</v>
      </c>
      <c r="B3">
        <v>0.01</v>
      </c>
      <c r="C3">
        <v>0.01</v>
      </c>
    </row>
    <row r="4" spans="1:3" x14ac:dyDescent="0.35">
      <c r="A4">
        <v>2</v>
      </c>
      <c r="B4">
        <v>0.01</v>
      </c>
      <c r="C4">
        <v>0.01</v>
      </c>
    </row>
    <row r="5" spans="1:3" x14ac:dyDescent="0.35">
      <c r="A5">
        <v>3</v>
      </c>
      <c r="B5">
        <v>0.01</v>
      </c>
      <c r="C5">
        <v>0.01</v>
      </c>
    </row>
    <row r="6" spans="1:3" x14ac:dyDescent="0.35">
      <c r="A6">
        <v>4</v>
      </c>
      <c r="B6">
        <v>0.01</v>
      </c>
      <c r="C6">
        <v>0.01</v>
      </c>
    </row>
    <row r="7" spans="1:3" x14ac:dyDescent="0.35">
      <c r="A7">
        <v>5</v>
      </c>
      <c r="B7">
        <v>0.01</v>
      </c>
      <c r="C7">
        <v>0.01</v>
      </c>
    </row>
    <row r="8" spans="1:3" x14ac:dyDescent="0.35">
      <c r="A8">
        <v>6</v>
      </c>
      <c r="B8">
        <v>0.01</v>
      </c>
      <c r="C8">
        <v>0.01</v>
      </c>
    </row>
    <row r="9" spans="1:3" x14ac:dyDescent="0.35">
      <c r="A9">
        <v>7</v>
      </c>
      <c r="B9">
        <v>0.01</v>
      </c>
      <c r="C9">
        <v>0.01</v>
      </c>
    </row>
    <row r="10" spans="1:3" x14ac:dyDescent="0.35">
      <c r="A10">
        <v>8</v>
      </c>
      <c r="B10">
        <v>0.01</v>
      </c>
      <c r="C10">
        <v>0.01</v>
      </c>
    </row>
    <row r="11" spans="1:3" x14ac:dyDescent="0.35">
      <c r="A11">
        <v>9</v>
      </c>
      <c r="B11">
        <v>0.01</v>
      </c>
      <c r="C11">
        <v>0.01</v>
      </c>
    </row>
    <row r="12" spans="1:3" x14ac:dyDescent="0.35">
      <c r="A12">
        <v>10</v>
      </c>
      <c r="B12">
        <v>0.01</v>
      </c>
      <c r="C12">
        <v>0.01</v>
      </c>
    </row>
    <row r="13" spans="1:3" x14ac:dyDescent="0.35">
      <c r="A13">
        <v>11</v>
      </c>
      <c r="B13">
        <v>0.01</v>
      </c>
      <c r="C13">
        <v>0.01</v>
      </c>
    </row>
    <row r="14" spans="1:3" x14ac:dyDescent="0.35">
      <c r="A14">
        <v>12</v>
      </c>
      <c r="B14">
        <v>0.01</v>
      </c>
      <c r="C14">
        <v>0.01</v>
      </c>
    </row>
    <row r="15" spans="1:3" x14ac:dyDescent="0.35">
      <c r="A15">
        <v>13</v>
      </c>
      <c r="B15">
        <v>0.01</v>
      </c>
      <c r="C15">
        <v>0.01</v>
      </c>
    </row>
    <row r="16" spans="1:3" x14ac:dyDescent="0.35">
      <c r="A16">
        <v>14</v>
      </c>
      <c r="B16">
        <v>0.01</v>
      </c>
      <c r="C16">
        <v>0.01</v>
      </c>
    </row>
    <row r="17" spans="1:3" x14ac:dyDescent="0.35">
      <c r="A17">
        <v>15</v>
      </c>
      <c r="B17">
        <v>0.01</v>
      </c>
      <c r="C17">
        <v>0.01</v>
      </c>
    </row>
    <row r="18" spans="1:3" x14ac:dyDescent="0.35">
      <c r="A18">
        <v>16</v>
      </c>
      <c r="B18">
        <v>0.01</v>
      </c>
      <c r="C18">
        <v>0.01</v>
      </c>
    </row>
    <row r="19" spans="1:3" x14ac:dyDescent="0.35">
      <c r="A19">
        <v>17</v>
      </c>
      <c r="B19">
        <v>0.01</v>
      </c>
      <c r="C19">
        <v>0.01</v>
      </c>
    </row>
    <row r="20" spans="1:3" x14ac:dyDescent="0.35">
      <c r="A20">
        <v>18</v>
      </c>
      <c r="B20">
        <v>0.01</v>
      </c>
      <c r="C20">
        <v>0.01</v>
      </c>
    </row>
    <row r="21" spans="1:3" x14ac:dyDescent="0.35">
      <c r="A21">
        <v>19</v>
      </c>
      <c r="B21">
        <v>0.01</v>
      </c>
      <c r="C21">
        <v>0.01</v>
      </c>
    </row>
    <row r="22" spans="1:3" x14ac:dyDescent="0.35">
      <c r="A22">
        <v>20</v>
      </c>
      <c r="B22">
        <v>0.01</v>
      </c>
      <c r="C22">
        <v>0.01</v>
      </c>
    </row>
    <row r="23" spans="1:3" x14ac:dyDescent="0.35">
      <c r="A23">
        <v>21</v>
      </c>
      <c r="B23">
        <v>0.01</v>
      </c>
      <c r="C23">
        <v>0.01</v>
      </c>
    </row>
    <row r="24" spans="1:3" x14ac:dyDescent="0.35">
      <c r="A24">
        <v>22</v>
      </c>
      <c r="B24">
        <v>0.01</v>
      </c>
      <c r="C24">
        <v>0.01</v>
      </c>
    </row>
    <row r="25" spans="1:3" x14ac:dyDescent="0.35">
      <c r="A25">
        <v>23</v>
      </c>
      <c r="B25">
        <v>0.01</v>
      </c>
      <c r="C25">
        <v>0.01</v>
      </c>
    </row>
    <row r="26" spans="1:3" x14ac:dyDescent="0.35">
      <c r="A26">
        <v>24</v>
      </c>
      <c r="B26">
        <v>0.01</v>
      </c>
      <c r="C26">
        <v>0.01</v>
      </c>
    </row>
    <row r="27" spans="1:3" x14ac:dyDescent="0.35">
      <c r="A27">
        <v>25</v>
      </c>
      <c r="B27">
        <v>0.01</v>
      </c>
      <c r="C27">
        <v>0.01</v>
      </c>
    </row>
    <row r="28" spans="1:3" x14ac:dyDescent="0.35">
      <c r="A28">
        <v>26</v>
      </c>
      <c r="B28">
        <v>0.01</v>
      </c>
      <c r="C28">
        <v>0.01</v>
      </c>
    </row>
    <row r="29" spans="1:3" x14ac:dyDescent="0.35">
      <c r="A29">
        <v>27</v>
      </c>
      <c r="B29">
        <v>0.01</v>
      </c>
      <c r="C29">
        <v>0.01</v>
      </c>
    </row>
    <row r="30" spans="1:3" x14ac:dyDescent="0.35">
      <c r="A30">
        <v>28</v>
      </c>
      <c r="B30">
        <v>0.01</v>
      </c>
      <c r="C30">
        <v>0.01</v>
      </c>
    </row>
    <row r="31" spans="1:3" x14ac:dyDescent="0.35">
      <c r="A31">
        <v>29</v>
      </c>
      <c r="B31">
        <v>0.01</v>
      </c>
      <c r="C31">
        <v>0.01</v>
      </c>
    </row>
    <row r="32" spans="1:3" x14ac:dyDescent="0.35">
      <c r="A32">
        <v>30</v>
      </c>
      <c r="B32">
        <v>0.01</v>
      </c>
      <c r="C32">
        <v>0.01</v>
      </c>
    </row>
    <row r="33" spans="1:3" x14ac:dyDescent="0.35">
      <c r="A33">
        <v>31</v>
      </c>
      <c r="B33">
        <v>0.01</v>
      </c>
      <c r="C33">
        <v>0.01</v>
      </c>
    </row>
    <row r="34" spans="1:3" x14ac:dyDescent="0.35">
      <c r="A34">
        <v>32</v>
      </c>
      <c r="B34">
        <v>0.01</v>
      </c>
      <c r="C34">
        <v>0.01</v>
      </c>
    </row>
    <row r="35" spans="1:3" x14ac:dyDescent="0.35">
      <c r="A35">
        <v>33</v>
      </c>
      <c r="B35">
        <v>0.01</v>
      </c>
      <c r="C35">
        <v>0.01</v>
      </c>
    </row>
    <row r="36" spans="1:3" x14ac:dyDescent="0.35">
      <c r="A36">
        <v>34</v>
      </c>
      <c r="B36">
        <v>0.01</v>
      </c>
      <c r="C36">
        <v>0.01</v>
      </c>
    </row>
    <row r="37" spans="1:3" x14ac:dyDescent="0.35">
      <c r="A37">
        <v>35</v>
      </c>
      <c r="B37">
        <v>0.01</v>
      </c>
      <c r="C37">
        <v>0.01</v>
      </c>
    </row>
    <row r="38" spans="1:3" x14ac:dyDescent="0.35">
      <c r="A38">
        <v>36</v>
      </c>
      <c r="B38">
        <v>0.01</v>
      </c>
      <c r="C38">
        <v>0.01</v>
      </c>
    </row>
    <row r="39" spans="1:3" x14ac:dyDescent="0.35">
      <c r="A39">
        <v>37</v>
      </c>
      <c r="B39">
        <v>0.01</v>
      </c>
      <c r="C39">
        <v>0.01</v>
      </c>
    </row>
    <row r="40" spans="1:3" x14ac:dyDescent="0.35">
      <c r="A40">
        <v>38</v>
      </c>
      <c r="B40">
        <v>0.01</v>
      </c>
      <c r="C40">
        <v>0.01</v>
      </c>
    </row>
    <row r="41" spans="1:3" x14ac:dyDescent="0.35">
      <c r="A41">
        <v>39</v>
      </c>
      <c r="B41">
        <v>0.01</v>
      </c>
      <c r="C41">
        <v>0.01</v>
      </c>
    </row>
    <row r="42" spans="1:3" x14ac:dyDescent="0.35">
      <c r="A42">
        <v>40</v>
      </c>
      <c r="B42">
        <v>0.01</v>
      </c>
      <c r="C42">
        <v>0.01</v>
      </c>
    </row>
    <row r="43" spans="1:3" x14ac:dyDescent="0.35">
      <c r="A43">
        <v>41</v>
      </c>
      <c r="B43">
        <v>0.01</v>
      </c>
      <c r="C43">
        <v>0.01</v>
      </c>
    </row>
    <row r="44" spans="1:3" x14ac:dyDescent="0.35">
      <c r="A44">
        <v>42</v>
      </c>
      <c r="B44">
        <v>0.01</v>
      </c>
      <c r="C44">
        <v>0.01</v>
      </c>
    </row>
    <row r="45" spans="1:3" x14ac:dyDescent="0.35">
      <c r="A45">
        <v>43</v>
      </c>
      <c r="B45">
        <v>0.01</v>
      </c>
      <c r="C45">
        <v>0.01</v>
      </c>
    </row>
    <row r="46" spans="1:3" x14ac:dyDescent="0.35">
      <c r="A46">
        <v>44</v>
      </c>
      <c r="B46">
        <v>0.01</v>
      </c>
      <c r="C46">
        <v>0.01</v>
      </c>
    </row>
    <row r="47" spans="1:3" x14ac:dyDescent="0.35">
      <c r="A47">
        <v>45</v>
      </c>
      <c r="B47">
        <v>0.01</v>
      </c>
      <c r="C47">
        <v>0.01</v>
      </c>
    </row>
    <row r="48" spans="1:3" x14ac:dyDescent="0.35">
      <c r="A48">
        <v>46</v>
      </c>
      <c r="B48">
        <v>0.01</v>
      </c>
      <c r="C48">
        <v>0.01</v>
      </c>
    </row>
    <row r="49" spans="1:3" x14ac:dyDescent="0.35">
      <c r="A49">
        <v>47</v>
      </c>
      <c r="B49">
        <v>0.01</v>
      </c>
      <c r="C49">
        <v>0.01</v>
      </c>
    </row>
    <row r="50" spans="1:3" x14ac:dyDescent="0.35">
      <c r="A50">
        <v>48</v>
      </c>
      <c r="B50">
        <v>0.01</v>
      </c>
      <c r="C50">
        <v>0.01</v>
      </c>
    </row>
    <row r="51" spans="1:3" x14ac:dyDescent="0.35">
      <c r="A51">
        <v>49</v>
      </c>
      <c r="B51">
        <v>0.01</v>
      </c>
      <c r="C51">
        <v>0.01</v>
      </c>
    </row>
    <row r="52" spans="1:3" x14ac:dyDescent="0.35">
      <c r="A52">
        <v>50</v>
      </c>
      <c r="B52">
        <v>0.01</v>
      </c>
      <c r="C52">
        <v>0.01</v>
      </c>
    </row>
    <row r="53" spans="1:3" x14ac:dyDescent="0.35">
      <c r="A53">
        <v>51</v>
      </c>
      <c r="B53">
        <v>0.01</v>
      </c>
      <c r="C53">
        <v>1.0999999999999999E-2</v>
      </c>
    </row>
    <row r="54" spans="1:3" x14ac:dyDescent="0.35">
      <c r="A54">
        <v>52</v>
      </c>
      <c r="B54">
        <v>1.0999999999999999E-2</v>
      </c>
      <c r="C54">
        <v>1.0999999999999999E-2</v>
      </c>
    </row>
    <row r="55" spans="1:3" x14ac:dyDescent="0.35">
      <c r="A55">
        <v>53</v>
      </c>
      <c r="B55">
        <v>1.0999999999999999E-2</v>
      </c>
      <c r="C55">
        <v>1.2E-2</v>
      </c>
    </row>
    <row r="56" spans="1:3" x14ac:dyDescent="0.35">
      <c r="A56">
        <v>54</v>
      </c>
      <c r="B56">
        <v>1.0999999999999999E-2</v>
      </c>
      <c r="C56">
        <v>1.2E-2</v>
      </c>
    </row>
    <row r="57" spans="1:3" x14ac:dyDescent="0.35">
      <c r="A57">
        <v>55</v>
      </c>
      <c r="B57">
        <v>1.2E-2</v>
      </c>
      <c r="C57">
        <v>1.2999999999999999E-2</v>
      </c>
    </row>
    <row r="58" spans="1:3" x14ac:dyDescent="0.35">
      <c r="A58">
        <v>56</v>
      </c>
      <c r="B58">
        <v>1.2E-2</v>
      </c>
      <c r="C58">
        <v>1.2999999999999999E-2</v>
      </c>
    </row>
    <row r="59" spans="1:3" x14ac:dyDescent="0.35">
      <c r="A59">
        <v>57</v>
      </c>
      <c r="B59">
        <v>1.2E-2</v>
      </c>
      <c r="C59">
        <v>1.4E-2</v>
      </c>
    </row>
    <row r="60" spans="1:3" x14ac:dyDescent="0.35">
      <c r="A60">
        <v>58</v>
      </c>
      <c r="B60">
        <v>1.2E-2</v>
      </c>
      <c r="C60">
        <v>1.4E-2</v>
      </c>
    </row>
    <row r="61" spans="1:3" x14ac:dyDescent="0.35">
      <c r="A61">
        <v>59</v>
      </c>
      <c r="B61">
        <v>1.2999999999999999E-2</v>
      </c>
      <c r="C61">
        <v>1.4999999999999999E-2</v>
      </c>
    </row>
    <row r="62" spans="1:3" x14ac:dyDescent="0.35">
      <c r="A62">
        <v>60</v>
      </c>
      <c r="B62">
        <v>1.2999999999999999E-2</v>
      </c>
      <c r="C62">
        <v>1.4999999999999999E-2</v>
      </c>
    </row>
    <row r="63" spans="1:3" x14ac:dyDescent="0.35">
      <c r="A63">
        <v>61</v>
      </c>
      <c r="B63">
        <v>1.2999999999999999E-2</v>
      </c>
      <c r="C63">
        <v>1.4999999999999999E-2</v>
      </c>
    </row>
    <row r="64" spans="1:3" x14ac:dyDescent="0.35">
      <c r="A64">
        <v>62</v>
      </c>
      <c r="B64">
        <v>1.2999999999999999E-2</v>
      </c>
      <c r="C64">
        <v>1.4999999999999999E-2</v>
      </c>
    </row>
    <row r="65" spans="1:3" x14ac:dyDescent="0.35">
      <c r="A65">
        <v>63</v>
      </c>
      <c r="B65">
        <v>1.2999999999999999E-2</v>
      </c>
      <c r="C65">
        <v>1.4999999999999999E-2</v>
      </c>
    </row>
    <row r="66" spans="1:3" x14ac:dyDescent="0.35">
      <c r="A66">
        <v>64</v>
      </c>
      <c r="B66">
        <v>1.2999999999999999E-2</v>
      </c>
      <c r="C66">
        <v>1.4999999999999999E-2</v>
      </c>
    </row>
    <row r="67" spans="1:3" x14ac:dyDescent="0.35">
      <c r="A67">
        <v>65</v>
      </c>
      <c r="B67">
        <v>1.2999999999999999E-2</v>
      </c>
      <c r="C67">
        <v>1.4999999999999999E-2</v>
      </c>
    </row>
    <row r="68" spans="1:3" x14ac:dyDescent="0.35">
      <c r="A68">
        <v>66</v>
      </c>
      <c r="B68">
        <v>1.2999999999999999E-2</v>
      </c>
      <c r="C68">
        <v>1.4999999999999999E-2</v>
      </c>
    </row>
    <row r="69" spans="1:3" x14ac:dyDescent="0.35">
      <c r="A69">
        <v>67</v>
      </c>
      <c r="B69">
        <v>1.2999999999999999E-2</v>
      </c>
      <c r="C69">
        <v>1.4999999999999999E-2</v>
      </c>
    </row>
    <row r="70" spans="1:3" x14ac:dyDescent="0.35">
      <c r="A70">
        <v>68</v>
      </c>
      <c r="B70">
        <v>1.2999999999999999E-2</v>
      </c>
      <c r="C70">
        <v>1.4999999999999999E-2</v>
      </c>
    </row>
    <row r="71" spans="1:3" x14ac:dyDescent="0.35">
      <c r="A71">
        <v>69</v>
      </c>
      <c r="B71">
        <v>1.2999999999999999E-2</v>
      </c>
      <c r="C71">
        <v>1.4999999999999999E-2</v>
      </c>
    </row>
    <row r="72" spans="1:3" x14ac:dyDescent="0.35">
      <c r="A72">
        <v>70</v>
      </c>
      <c r="B72">
        <v>1.2999999999999999E-2</v>
      </c>
      <c r="C72">
        <v>1.4999999999999999E-2</v>
      </c>
    </row>
    <row r="73" spans="1:3" x14ac:dyDescent="0.35">
      <c r="A73">
        <v>71</v>
      </c>
      <c r="B73">
        <v>1.2999999999999999E-2</v>
      </c>
      <c r="C73">
        <v>1.4999999999999999E-2</v>
      </c>
    </row>
    <row r="74" spans="1:3" x14ac:dyDescent="0.35">
      <c r="A74">
        <v>72</v>
      </c>
      <c r="B74">
        <v>1.2999999999999999E-2</v>
      </c>
      <c r="C74">
        <v>1.4999999999999999E-2</v>
      </c>
    </row>
    <row r="75" spans="1:3" x14ac:dyDescent="0.35">
      <c r="A75">
        <v>73</v>
      </c>
      <c r="B75">
        <v>1.2999999999999999E-2</v>
      </c>
      <c r="C75">
        <v>1.4999999999999999E-2</v>
      </c>
    </row>
    <row r="76" spans="1:3" x14ac:dyDescent="0.35">
      <c r="A76">
        <v>74</v>
      </c>
      <c r="B76">
        <v>1.2999999999999999E-2</v>
      </c>
      <c r="C76">
        <v>1.4999999999999999E-2</v>
      </c>
    </row>
    <row r="77" spans="1:3" x14ac:dyDescent="0.35">
      <c r="A77">
        <v>75</v>
      </c>
      <c r="B77">
        <v>1.2999999999999999E-2</v>
      </c>
      <c r="C77">
        <v>1.4999999999999999E-2</v>
      </c>
    </row>
    <row r="78" spans="1:3" x14ac:dyDescent="0.35">
      <c r="A78">
        <v>76</v>
      </c>
      <c r="B78">
        <v>1.2999999999999999E-2</v>
      </c>
      <c r="C78">
        <v>1.4999999999999999E-2</v>
      </c>
    </row>
    <row r="79" spans="1:3" x14ac:dyDescent="0.35">
      <c r="A79">
        <v>77</v>
      </c>
      <c r="B79">
        <v>1.2999999999999999E-2</v>
      </c>
      <c r="C79">
        <v>1.4999999999999999E-2</v>
      </c>
    </row>
    <row r="80" spans="1:3" x14ac:dyDescent="0.35">
      <c r="A80">
        <v>78</v>
      </c>
      <c r="B80">
        <v>1.2999999999999999E-2</v>
      </c>
      <c r="C80">
        <v>1.4999999999999999E-2</v>
      </c>
    </row>
    <row r="81" spans="1:3" x14ac:dyDescent="0.35">
      <c r="A81">
        <v>79</v>
      </c>
      <c r="B81">
        <v>1.2999999999999999E-2</v>
      </c>
      <c r="C81">
        <v>1.4999999999999999E-2</v>
      </c>
    </row>
    <row r="82" spans="1:3" x14ac:dyDescent="0.35">
      <c r="A82">
        <v>80</v>
      </c>
      <c r="B82">
        <v>1.2999999999999999E-2</v>
      </c>
      <c r="C82">
        <v>1.4999999999999999E-2</v>
      </c>
    </row>
    <row r="83" spans="1:3" x14ac:dyDescent="0.35">
      <c r="A83">
        <v>81</v>
      </c>
      <c r="B83">
        <v>1.2E-2</v>
      </c>
      <c r="C83">
        <v>1.4E-2</v>
      </c>
    </row>
    <row r="84" spans="1:3" x14ac:dyDescent="0.35">
      <c r="A84">
        <v>82</v>
      </c>
      <c r="B84">
        <v>1.2E-2</v>
      </c>
      <c r="C84">
        <v>1.2999999999999999E-2</v>
      </c>
    </row>
    <row r="85" spans="1:3" x14ac:dyDescent="0.35">
      <c r="A85">
        <v>83</v>
      </c>
      <c r="B85">
        <v>1.0999999999999999E-2</v>
      </c>
      <c r="C85">
        <v>1.2999999999999999E-2</v>
      </c>
    </row>
    <row r="86" spans="1:3" x14ac:dyDescent="0.35">
      <c r="A86">
        <v>84</v>
      </c>
      <c r="B86">
        <v>0.01</v>
      </c>
      <c r="C86">
        <v>1.2E-2</v>
      </c>
    </row>
    <row r="87" spans="1:3" x14ac:dyDescent="0.35">
      <c r="A87">
        <v>85</v>
      </c>
      <c r="B87">
        <v>0.01</v>
      </c>
      <c r="C87">
        <v>1.0999999999999999E-2</v>
      </c>
    </row>
    <row r="88" spans="1:3" x14ac:dyDescent="0.35">
      <c r="A88">
        <v>86</v>
      </c>
      <c r="B88">
        <v>8.9999999999999993E-3</v>
      </c>
      <c r="C88">
        <v>0.01</v>
      </c>
    </row>
    <row r="89" spans="1:3" x14ac:dyDescent="0.35">
      <c r="A89">
        <v>87</v>
      </c>
      <c r="B89">
        <v>8.0000000000000002E-3</v>
      </c>
      <c r="C89">
        <v>8.9999999999999993E-3</v>
      </c>
    </row>
    <row r="90" spans="1:3" x14ac:dyDescent="0.35">
      <c r="A90">
        <v>88</v>
      </c>
      <c r="B90">
        <v>7.0000000000000001E-3</v>
      </c>
      <c r="C90">
        <v>8.9999999999999993E-3</v>
      </c>
    </row>
    <row r="91" spans="1:3" x14ac:dyDescent="0.35">
      <c r="A91">
        <v>89</v>
      </c>
      <c r="B91">
        <v>7.0000000000000001E-3</v>
      </c>
      <c r="C91">
        <v>8.0000000000000002E-3</v>
      </c>
    </row>
    <row r="92" spans="1:3" x14ac:dyDescent="0.35">
      <c r="A92">
        <v>90</v>
      </c>
      <c r="B92">
        <v>6.0000000000000001E-3</v>
      </c>
      <c r="C92">
        <v>7.0000000000000001E-3</v>
      </c>
    </row>
    <row r="93" spans="1:3" x14ac:dyDescent="0.35">
      <c r="A93">
        <v>91</v>
      </c>
      <c r="B93">
        <v>6.0000000000000001E-3</v>
      </c>
      <c r="C93">
        <v>7.0000000000000001E-3</v>
      </c>
    </row>
    <row r="94" spans="1:3" x14ac:dyDescent="0.35">
      <c r="A94">
        <v>92</v>
      </c>
      <c r="B94">
        <v>5.0000000000000001E-3</v>
      </c>
      <c r="C94">
        <v>6.0000000000000001E-3</v>
      </c>
    </row>
    <row r="95" spans="1:3" x14ac:dyDescent="0.35">
      <c r="A95">
        <v>93</v>
      </c>
      <c r="B95">
        <v>5.0000000000000001E-3</v>
      </c>
      <c r="C95">
        <v>5.0000000000000001E-3</v>
      </c>
    </row>
    <row r="96" spans="1:3" x14ac:dyDescent="0.35">
      <c r="A96">
        <v>94</v>
      </c>
      <c r="B96">
        <v>4.0000000000000001E-3</v>
      </c>
      <c r="C96">
        <v>5.0000000000000001E-3</v>
      </c>
    </row>
    <row r="97" spans="1:3" x14ac:dyDescent="0.35">
      <c r="A97">
        <v>95</v>
      </c>
      <c r="B97">
        <v>4.0000000000000001E-3</v>
      </c>
      <c r="C97">
        <v>4.0000000000000001E-3</v>
      </c>
    </row>
    <row r="98" spans="1:3" x14ac:dyDescent="0.35">
      <c r="A98">
        <v>96</v>
      </c>
      <c r="B98">
        <v>4.0000000000000001E-3</v>
      </c>
      <c r="C98">
        <v>4.0000000000000001E-3</v>
      </c>
    </row>
    <row r="99" spans="1:3" x14ac:dyDescent="0.35">
      <c r="A99">
        <v>97</v>
      </c>
      <c r="B99">
        <v>3.0000000000000001E-3</v>
      </c>
      <c r="C99">
        <v>3.0000000000000001E-3</v>
      </c>
    </row>
    <row r="100" spans="1:3" x14ac:dyDescent="0.35">
      <c r="A100">
        <v>98</v>
      </c>
      <c r="B100">
        <v>3.0000000000000001E-3</v>
      </c>
      <c r="C100">
        <v>3.0000000000000001E-3</v>
      </c>
    </row>
    <row r="101" spans="1:3" x14ac:dyDescent="0.35">
      <c r="A101">
        <v>99</v>
      </c>
      <c r="B101">
        <v>2E-3</v>
      </c>
      <c r="C101">
        <v>2E-3</v>
      </c>
    </row>
    <row r="102" spans="1:3" x14ac:dyDescent="0.35">
      <c r="A102">
        <v>100</v>
      </c>
      <c r="B102">
        <v>2E-3</v>
      </c>
      <c r="C102">
        <v>2E-3</v>
      </c>
    </row>
    <row r="103" spans="1:3" x14ac:dyDescent="0.35">
      <c r="A103">
        <v>101</v>
      </c>
      <c r="B103">
        <v>2E-3</v>
      </c>
      <c r="C103">
        <v>2E-3</v>
      </c>
    </row>
    <row r="104" spans="1:3" x14ac:dyDescent="0.35">
      <c r="A104">
        <v>102</v>
      </c>
      <c r="B104">
        <v>1E-3</v>
      </c>
      <c r="C104">
        <v>1E-3</v>
      </c>
    </row>
    <row r="105" spans="1:3" x14ac:dyDescent="0.35">
      <c r="A105">
        <v>103</v>
      </c>
      <c r="B105">
        <v>1E-3</v>
      </c>
      <c r="C105">
        <v>1E-3</v>
      </c>
    </row>
    <row r="106" spans="1:3" x14ac:dyDescent="0.35">
      <c r="A106">
        <v>104</v>
      </c>
      <c r="B106">
        <v>0</v>
      </c>
      <c r="C106">
        <v>0</v>
      </c>
    </row>
    <row r="107" spans="1:3" x14ac:dyDescent="0.35">
      <c r="A107">
        <v>105</v>
      </c>
      <c r="B107">
        <v>0</v>
      </c>
      <c r="C10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1C15-CA4A-4C2F-AC13-D4869970AD48}">
  <dimension ref="A1:B42"/>
  <sheetViews>
    <sheetView workbookViewId="0">
      <selection sqref="A1:B42"/>
    </sheetView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>
        <v>50</v>
      </c>
      <c r="B2" s="2">
        <v>0.6</v>
      </c>
    </row>
    <row r="3" spans="1:2" x14ac:dyDescent="0.35">
      <c r="A3">
        <f>A2+1</f>
        <v>51</v>
      </c>
      <c r="B3" s="2">
        <v>0.6</v>
      </c>
    </row>
    <row r="4" spans="1:2" x14ac:dyDescent="0.35">
      <c r="A4">
        <f t="shared" ref="A4:A41" si="0">A3+1</f>
        <v>52</v>
      </c>
      <c r="B4" s="2">
        <v>0.6</v>
      </c>
    </row>
    <row r="5" spans="1:2" x14ac:dyDescent="0.35">
      <c r="A5">
        <f t="shared" si="0"/>
        <v>53</v>
      </c>
      <c r="B5" s="2">
        <v>0.6</v>
      </c>
    </row>
    <row r="6" spans="1:2" x14ac:dyDescent="0.35">
      <c r="A6">
        <f t="shared" si="0"/>
        <v>54</v>
      </c>
      <c r="B6" s="2">
        <v>0.6</v>
      </c>
    </row>
    <row r="7" spans="1:2" x14ac:dyDescent="0.35">
      <c r="A7">
        <f t="shared" si="0"/>
        <v>55</v>
      </c>
      <c r="B7" s="2">
        <v>0.6</v>
      </c>
    </row>
    <row r="8" spans="1:2" x14ac:dyDescent="0.35">
      <c r="A8">
        <f t="shared" si="0"/>
        <v>56</v>
      </c>
      <c r="B8" s="2">
        <v>0.6</v>
      </c>
    </row>
    <row r="9" spans="1:2" x14ac:dyDescent="0.35">
      <c r="A9">
        <f t="shared" si="0"/>
        <v>57</v>
      </c>
      <c r="B9" s="2">
        <v>0.6</v>
      </c>
    </row>
    <row r="10" spans="1:2" x14ac:dyDescent="0.35">
      <c r="A10">
        <f t="shared" si="0"/>
        <v>58</v>
      </c>
      <c r="B10" s="2">
        <v>0.6</v>
      </c>
    </row>
    <row r="11" spans="1:2" x14ac:dyDescent="0.35">
      <c r="A11">
        <f t="shared" si="0"/>
        <v>59</v>
      </c>
      <c r="B11" s="2">
        <v>0.6</v>
      </c>
    </row>
    <row r="12" spans="1:2" x14ac:dyDescent="0.35">
      <c r="A12">
        <f t="shared" si="0"/>
        <v>60</v>
      </c>
      <c r="B12" s="2">
        <v>0.6</v>
      </c>
    </row>
    <row r="13" spans="1:2" x14ac:dyDescent="0.35">
      <c r="A13">
        <f t="shared" si="0"/>
        <v>61</v>
      </c>
      <c r="B13" s="2">
        <f>MIN(1,B12+40%/30)</f>
        <v>0.61333333333333329</v>
      </c>
    </row>
    <row r="14" spans="1:2" x14ac:dyDescent="0.35">
      <c r="A14">
        <f t="shared" si="0"/>
        <v>62</v>
      </c>
      <c r="B14" s="2">
        <f t="shared" ref="B14:B42" si="1">MIN(1,B13+40%/30)</f>
        <v>0.62666666666666659</v>
      </c>
    </row>
    <row r="15" spans="1:2" x14ac:dyDescent="0.35">
      <c r="A15">
        <f t="shared" si="0"/>
        <v>63</v>
      </c>
      <c r="B15" s="2">
        <f t="shared" si="1"/>
        <v>0.6399999999999999</v>
      </c>
    </row>
    <row r="16" spans="1:2" x14ac:dyDescent="0.35">
      <c r="A16">
        <f t="shared" si="0"/>
        <v>64</v>
      </c>
      <c r="B16" s="2">
        <f t="shared" si="1"/>
        <v>0.65333333333333321</v>
      </c>
    </row>
    <row r="17" spans="1:2" x14ac:dyDescent="0.35">
      <c r="A17">
        <f t="shared" si="0"/>
        <v>65</v>
      </c>
      <c r="B17" s="2">
        <f t="shared" si="1"/>
        <v>0.66666666666666652</v>
      </c>
    </row>
    <row r="18" spans="1:2" x14ac:dyDescent="0.35">
      <c r="A18">
        <f t="shared" si="0"/>
        <v>66</v>
      </c>
      <c r="B18" s="2">
        <f t="shared" si="1"/>
        <v>0.67999999999999983</v>
      </c>
    </row>
    <row r="19" spans="1:2" x14ac:dyDescent="0.35">
      <c r="A19">
        <f t="shared" si="0"/>
        <v>67</v>
      </c>
      <c r="B19" s="2">
        <f t="shared" si="1"/>
        <v>0.69333333333333313</v>
      </c>
    </row>
    <row r="20" spans="1:2" x14ac:dyDescent="0.35">
      <c r="A20">
        <f t="shared" si="0"/>
        <v>68</v>
      </c>
      <c r="B20" s="2">
        <f t="shared" si="1"/>
        <v>0.70666666666666644</v>
      </c>
    </row>
    <row r="21" spans="1:2" x14ac:dyDescent="0.35">
      <c r="A21">
        <f t="shared" si="0"/>
        <v>69</v>
      </c>
      <c r="B21" s="2">
        <f t="shared" si="1"/>
        <v>0.71999999999999975</v>
      </c>
    </row>
    <row r="22" spans="1:2" x14ac:dyDescent="0.35">
      <c r="A22">
        <f t="shared" si="0"/>
        <v>70</v>
      </c>
      <c r="B22" s="2">
        <f t="shared" si="1"/>
        <v>0.73333333333333306</v>
      </c>
    </row>
    <row r="23" spans="1:2" x14ac:dyDescent="0.35">
      <c r="A23">
        <f t="shared" si="0"/>
        <v>71</v>
      </c>
      <c r="B23" s="2">
        <f t="shared" si="1"/>
        <v>0.74666666666666637</v>
      </c>
    </row>
    <row r="24" spans="1:2" x14ac:dyDescent="0.35">
      <c r="A24">
        <f t="shared" si="0"/>
        <v>72</v>
      </c>
      <c r="B24" s="2">
        <f t="shared" si="1"/>
        <v>0.75999999999999968</v>
      </c>
    </row>
    <row r="25" spans="1:2" x14ac:dyDescent="0.35">
      <c r="A25">
        <f t="shared" si="0"/>
        <v>73</v>
      </c>
      <c r="B25" s="2">
        <f t="shared" si="1"/>
        <v>0.77333333333333298</v>
      </c>
    </row>
    <row r="26" spans="1:2" x14ac:dyDescent="0.35">
      <c r="A26">
        <f t="shared" si="0"/>
        <v>74</v>
      </c>
      <c r="B26" s="2">
        <f t="shared" si="1"/>
        <v>0.78666666666666629</v>
      </c>
    </row>
    <row r="27" spans="1:2" x14ac:dyDescent="0.35">
      <c r="A27">
        <f t="shared" si="0"/>
        <v>75</v>
      </c>
      <c r="B27" s="2">
        <f t="shared" si="1"/>
        <v>0.7999999999999996</v>
      </c>
    </row>
    <row r="28" spans="1:2" x14ac:dyDescent="0.35">
      <c r="A28">
        <f t="shared" si="0"/>
        <v>76</v>
      </c>
      <c r="B28" s="2">
        <f t="shared" si="1"/>
        <v>0.81333333333333291</v>
      </c>
    </row>
    <row r="29" spans="1:2" x14ac:dyDescent="0.35">
      <c r="A29">
        <f t="shared" si="0"/>
        <v>77</v>
      </c>
      <c r="B29" s="2">
        <f t="shared" si="1"/>
        <v>0.82666666666666622</v>
      </c>
    </row>
    <row r="30" spans="1:2" x14ac:dyDescent="0.35">
      <c r="A30">
        <f t="shared" si="0"/>
        <v>78</v>
      </c>
      <c r="B30" s="2">
        <f t="shared" si="1"/>
        <v>0.83999999999999952</v>
      </c>
    </row>
    <row r="31" spans="1:2" x14ac:dyDescent="0.35">
      <c r="A31">
        <f t="shared" si="0"/>
        <v>79</v>
      </c>
      <c r="B31" s="2">
        <f t="shared" si="1"/>
        <v>0.85333333333333283</v>
      </c>
    </row>
    <row r="32" spans="1:2" x14ac:dyDescent="0.35">
      <c r="A32">
        <f t="shared" si="0"/>
        <v>80</v>
      </c>
      <c r="B32" s="2">
        <f t="shared" si="1"/>
        <v>0.86666666666666614</v>
      </c>
    </row>
    <row r="33" spans="1:2" x14ac:dyDescent="0.35">
      <c r="A33">
        <f t="shared" si="0"/>
        <v>81</v>
      </c>
      <c r="B33" s="2">
        <f t="shared" si="1"/>
        <v>0.87999999999999945</v>
      </c>
    </row>
    <row r="34" spans="1:2" x14ac:dyDescent="0.35">
      <c r="A34">
        <f t="shared" si="0"/>
        <v>82</v>
      </c>
      <c r="B34" s="2">
        <f t="shared" si="1"/>
        <v>0.89333333333333276</v>
      </c>
    </row>
    <row r="35" spans="1:2" x14ac:dyDescent="0.35">
      <c r="A35">
        <f t="shared" si="0"/>
        <v>83</v>
      </c>
      <c r="B35" s="2">
        <f t="shared" si="1"/>
        <v>0.90666666666666607</v>
      </c>
    </row>
    <row r="36" spans="1:2" x14ac:dyDescent="0.35">
      <c r="A36">
        <f t="shared" si="0"/>
        <v>84</v>
      </c>
      <c r="B36" s="2">
        <f t="shared" si="1"/>
        <v>0.91999999999999937</v>
      </c>
    </row>
    <row r="37" spans="1:2" x14ac:dyDescent="0.35">
      <c r="A37">
        <f t="shared" si="0"/>
        <v>85</v>
      </c>
      <c r="B37" s="2">
        <f t="shared" si="1"/>
        <v>0.93333333333333268</v>
      </c>
    </row>
    <row r="38" spans="1:2" x14ac:dyDescent="0.35">
      <c r="A38">
        <f t="shared" si="0"/>
        <v>86</v>
      </c>
      <c r="B38" s="2">
        <f t="shared" si="1"/>
        <v>0.94666666666666599</v>
      </c>
    </row>
    <row r="39" spans="1:2" x14ac:dyDescent="0.35">
      <c r="A39">
        <f t="shared" si="0"/>
        <v>87</v>
      </c>
      <c r="B39" s="2">
        <f t="shared" si="1"/>
        <v>0.9599999999999993</v>
      </c>
    </row>
    <row r="40" spans="1:2" x14ac:dyDescent="0.35">
      <c r="A40">
        <f t="shared" si="0"/>
        <v>88</v>
      </c>
      <c r="B40" s="2">
        <f t="shared" si="1"/>
        <v>0.97333333333333261</v>
      </c>
    </row>
    <row r="41" spans="1:2" x14ac:dyDescent="0.35">
      <c r="A41">
        <f t="shared" si="0"/>
        <v>89</v>
      </c>
      <c r="B41" s="2">
        <f t="shared" si="1"/>
        <v>0.98666666666666591</v>
      </c>
    </row>
    <row r="42" spans="1:2" x14ac:dyDescent="0.35">
      <c r="A42" s="3">
        <v>90</v>
      </c>
      <c r="B42" s="2">
        <f t="shared" si="1"/>
        <v>0.99999999999999922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6042-40BB-4C81-B488-5AF8103A902A}">
  <dimension ref="A1:B12"/>
  <sheetViews>
    <sheetView workbookViewId="0"/>
  </sheetViews>
  <sheetFormatPr defaultRowHeight="14.5" x14ac:dyDescent="0.35"/>
  <sheetData>
    <row r="1" spans="1:2" x14ac:dyDescent="0.35">
      <c r="A1" s="4" t="s">
        <v>5</v>
      </c>
      <c r="B1" s="4" t="s">
        <v>6</v>
      </c>
    </row>
    <row r="2" spans="1:2" x14ac:dyDescent="0.35">
      <c r="A2" s="5">
        <v>1</v>
      </c>
      <c r="B2" s="6">
        <v>0.09</v>
      </c>
    </row>
    <row r="3" spans="1:2" x14ac:dyDescent="0.35">
      <c r="A3" s="5">
        <v>2</v>
      </c>
      <c r="B3" s="6">
        <v>0.09</v>
      </c>
    </row>
    <row r="4" spans="1:2" x14ac:dyDescent="0.35">
      <c r="A4" s="5">
        <v>3</v>
      </c>
      <c r="B4" s="6">
        <v>0.08</v>
      </c>
    </row>
    <row r="5" spans="1:2" x14ac:dyDescent="0.35">
      <c r="A5" s="5">
        <v>4</v>
      </c>
      <c r="B5" s="6">
        <v>7.0000000000000007E-2</v>
      </c>
    </row>
    <row r="6" spans="1:2" x14ac:dyDescent="0.35">
      <c r="A6" s="5">
        <v>5</v>
      </c>
      <c r="B6" s="6">
        <v>0.06</v>
      </c>
    </row>
    <row r="7" spans="1:2" x14ac:dyDescent="0.35">
      <c r="A7" s="5">
        <v>6</v>
      </c>
      <c r="B7" s="6">
        <v>0.05</v>
      </c>
    </row>
    <row r="8" spans="1:2" x14ac:dyDescent="0.35">
      <c r="A8" s="5">
        <v>7</v>
      </c>
      <c r="B8" s="6">
        <v>0.04</v>
      </c>
    </row>
    <row r="9" spans="1:2" x14ac:dyDescent="0.35">
      <c r="A9" s="5">
        <v>8</v>
      </c>
      <c r="B9" s="6">
        <v>0.03</v>
      </c>
    </row>
    <row r="10" spans="1:2" x14ac:dyDescent="0.35">
      <c r="A10" s="5">
        <v>9</v>
      </c>
      <c r="B10" s="6">
        <v>0.02</v>
      </c>
    </row>
    <row r="11" spans="1:2" x14ac:dyDescent="0.35">
      <c r="A11" s="5">
        <v>10</v>
      </c>
      <c r="B11" s="6">
        <v>0.01</v>
      </c>
    </row>
    <row r="12" spans="1:2" x14ac:dyDescent="0.35">
      <c r="A12" s="5">
        <v>11</v>
      </c>
      <c r="B12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FA85-B384-425E-8A9B-1D648897AB63}">
  <dimension ref="A1:B49"/>
  <sheetViews>
    <sheetView workbookViewId="0"/>
  </sheetViews>
  <sheetFormatPr defaultRowHeight="14.5" x14ac:dyDescent="0.35"/>
  <sheetData>
    <row r="1" spans="1:2" ht="21" x14ac:dyDescent="0.35">
      <c r="A1" s="8" t="s">
        <v>3</v>
      </c>
      <c r="B1" t="s">
        <v>7</v>
      </c>
    </row>
    <row r="2" spans="1:2" x14ac:dyDescent="0.35">
      <c r="A2" s="9">
        <v>73</v>
      </c>
      <c r="B2" s="10">
        <v>3.77358490566038E-2</v>
      </c>
    </row>
    <row r="3" spans="1:2" x14ac:dyDescent="0.35">
      <c r="A3" s="9">
        <v>74</v>
      </c>
      <c r="B3" s="10">
        <v>3.9215686274509803E-2</v>
      </c>
    </row>
    <row r="4" spans="1:2" x14ac:dyDescent="0.35">
      <c r="A4" s="9">
        <v>75</v>
      </c>
      <c r="B4" s="10">
        <v>4.065040650406504E-2</v>
      </c>
    </row>
    <row r="5" spans="1:2" x14ac:dyDescent="0.35">
      <c r="A5" s="9">
        <v>76</v>
      </c>
      <c r="B5" s="10">
        <v>4.2194092827004218E-2</v>
      </c>
    </row>
    <row r="6" spans="1:2" x14ac:dyDescent="0.35">
      <c r="A6" s="9">
        <v>77</v>
      </c>
      <c r="B6" s="10">
        <v>4.3668122270742363E-2</v>
      </c>
    </row>
    <row r="7" spans="1:2" x14ac:dyDescent="0.35">
      <c r="A7" s="9">
        <v>78</v>
      </c>
      <c r="B7" s="10">
        <v>4.5454545454545456E-2</v>
      </c>
    </row>
    <row r="8" spans="1:2" x14ac:dyDescent="0.35">
      <c r="A8" s="9">
        <v>79</v>
      </c>
      <c r="B8" s="10">
        <v>4.7393364928909949E-2</v>
      </c>
    </row>
    <row r="9" spans="1:2" x14ac:dyDescent="0.35">
      <c r="A9" s="9">
        <v>80</v>
      </c>
      <c r="B9" s="10">
        <v>4.9504950495049507E-2</v>
      </c>
    </row>
    <row r="10" spans="1:2" x14ac:dyDescent="0.35">
      <c r="A10" s="9">
        <v>81</v>
      </c>
      <c r="B10" s="10">
        <v>5.1546391752577324E-2</v>
      </c>
    </row>
    <row r="11" spans="1:2" x14ac:dyDescent="0.35">
      <c r="A11" s="9">
        <v>82</v>
      </c>
      <c r="B11" s="10">
        <v>5.4054054054054057E-2</v>
      </c>
    </row>
    <row r="12" spans="1:2" x14ac:dyDescent="0.35">
      <c r="A12" s="9">
        <v>83</v>
      </c>
      <c r="B12" s="10">
        <v>5.6497175141242938E-2</v>
      </c>
    </row>
    <row r="13" spans="1:2" x14ac:dyDescent="0.35">
      <c r="A13" s="9">
        <v>84</v>
      </c>
      <c r="B13" s="10">
        <v>5.9523809523809521E-2</v>
      </c>
    </row>
    <row r="14" spans="1:2" x14ac:dyDescent="0.35">
      <c r="A14" s="9">
        <v>85</v>
      </c>
      <c r="B14" s="10">
        <v>6.25E-2</v>
      </c>
    </row>
    <row r="15" spans="1:2" x14ac:dyDescent="0.35">
      <c r="A15" s="9">
        <v>86</v>
      </c>
      <c r="B15" s="10">
        <v>6.5789473684210523E-2</v>
      </c>
    </row>
    <row r="16" spans="1:2" x14ac:dyDescent="0.35">
      <c r="A16" s="9">
        <v>87</v>
      </c>
      <c r="B16" s="10">
        <v>6.9444444444444448E-2</v>
      </c>
    </row>
    <row r="17" spans="1:2" x14ac:dyDescent="0.35">
      <c r="A17" s="9">
        <v>88</v>
      </c>
      <c r="B17" s="10">
        <v>7.2992700729927015E-2</v>
      </c>
    </row>
    <row r="18" spans="1:2" x14ac:dyDescent="0.35">
      <c r="A18" s="9">
        <v>89</v>
      </c>
      <c r="B18" s="10">
        <v>7.7519379844961239E-2</v>
      </c>
    </row>
    <row r="19" spans="1:2" x14ac:dyDescent="0.35">
      <c r="A19" s="9">
        <v>90</v>
      </c>
      <c r="B19" s="10">
        <v>8.1967213114754106E-2</v>
      </c>
    </row>
    <row r="20" spans="1:2" x14ac:dyDescent="0.35">
      <c r="A20" s="9">
        <v>91</v>
      </c>
      <c r="B20" s="10">
        <v>8.6956521739130432E-2</v>
      </c>
    </row>
    <row r="21" spans="1:2" x14ac:dyDescent="0.35">
      <c r="A21" s="9">
        <v>92</v>
      </c>
      <c r="B21" s="10">
        <v>9.2592592592592587E-2</v>
      </c>
    </row>
    <row r="22" spans="1:2" x14ac:dyDescent="0.35">
      <c r="A22" s="9">
        <v>93</v>
      </c>
      <c r="B22" s="10">
        <v>9.9009900990099015E-2</v>
      </c>
    </row>
    <row r="23" spans="1:2" x14ac:dyDescent="0.35">
      <c r="A23" s="9">
        <v>94</v>
      </c>
      <c r="B23" s="10">
        <v>0.10526315789473684</v>
      </c>
    </row>
    <row r="24" spans="1:2" x14ac:dyDescent="0.35">
      <c r="A24" s="9">
        <v>95</v>
      </c>
      <c r="B24" s="10">
        <v>0.11235955056179775</v>
      </c>
    </row>
    <row r="25" spans="1:2" x14ac:dyDescent="0.35">
      <c r="A25" s="9">
        <v>96</v>
      </c>
      <c r="B25" s="10">
        <v>0.11904761904761904</v>
      </c>
    </row>
    <row r="26" spans="1:2" x14ac:dyDescent="0.35">
      <c r="A26" s="9">
        <v>97</v>
      </c>
      <c r="B26" s="10">
        <v>0.12820512820512822</v>
      </c>
    </row>
    <row r="27" spans="1:2" x14ac:dyDescent="0.35">
      <c r="A27" s="9">
        <v>98</v>
      </c>
      <c r="B27" s="10">
        <v>0.13698630136986301</v>
      </c>
    </row>
    <row r="28" spans="1:2" x14ac:dyDescent="0.35">
      <c r="A28" s="9">
        <v>99</v>
      </c>
      <c r="B28" s="10">
        <v>0.14705882352941177</v>
      </c>
    </row>
    <row r="29" spans="1:2" x14ac:dyDescent="0.35">
      <c r="A29" s="9">
        <v>100</v>
      </c>
      <c r="B29" s="10">
        <v>0.15625</v>
      </c>
    </row>
    <row r="30" spans="1:2" x14ac:dyDescent="0.35">
      <c r="A30" s="9">
        <v>101</v>
      </c>
      <c r="B30" s="10">
        <v>0.16666666666666666</v>
      </c>
    </row>
    <row r="31" spans="1:2" x14ac:dyDescent="0.35">
      <c r="A31" s="9">
        <v>102</v>
      </c>
      <c r="B31" s="10">
        <v>0.17857142857142858</v>
      </c>
    </row>
    <row r="32" spans="1:2" x14ac:dyDescent="0.35">
      <c r="A32" s="9">
        <v>103</v>
      </c>
      <c r="B32" s="10">
        <v>0.19230769230769229</v>
      </c>
    </row>
    <row r="33" spans="1:2" x14ac:dyDescent="0.35">
      <c r="A33" s="9">
        <v>104</v>
      </c>
      <c r="B33" s="10">
        <v>0.2040816326530612</v>
      </c>
    </row>
    <row r="34" spans="1:2" x14ac:dyDescent="0.35">
      <c r="A34" s="9">
        <v>105</v>
      </c>
      <c r="B34" s="10">
        <v>0.21739130434782611</v>
      </c>
    </row>
    <row r="35" spans="1:2" x14ac:dyDescent="0.35">
      <c r="A35" s="9">
        <v>106</v>
      </c>
      <c r="B35" s="10">
        <v>0.23255813953488372</v>
      </c>
    </row>
    <row r="36" spans="1:2" x14ac:dyDescent="0.35">
      <c r="A36" s="9">
        <v>107</v>
      </c>
      <c r="B36" s="10">
        <v>0.24390243902439027</v>
      </c>
    </row>
    <row r="37" spans="1:2" x14ac:dyDescent="0.35">
      <c r="A37" s="9">
        <v>108</v>
      </c>
      <c r="B37" s="10">
        <v>0.25641025641025644</v>
      </c>
    </row>
    <row r="38" spans="1:2" x14ac:dyDescent="0.35">
      <c r="A38" s="9">
        <v>109</v>
      </c>
      <c r="B38" s="10">
        <v>0.27027027027027023</v>
      </c>
    </row>
    <row r="39" spans="1:2" x14ac:dyDescent="0.35">
      <c r="A39" s="9">
        <v>110</v>
      </c>
      <c r="B39" s="10">
        <v>0.2857142857142857</v>
      </c>
    </row>
    <row r="40" spans="1:2" x14ac:dyDescent="0.35">
      <c r="A40" s="9">
        <v>111</v>
      </c>
      <c r="B40" s="10">
        <v>0.29411764705882354</v>
      </c>
    </row>
    <row r="41" spans="1:2" x14ac:dyDescent="0.35">
      <c r="A41" s="9">
        <v>112</v>
      </c>
      <c r="B41" s="10">
        <v>0.30303030303030304</v>
      </c>
    </row>
    <row r="42" spans="1:2" x14ac:dyDescent="0.35">
      <c r="A42" s="9">
        <v>113</v>
      </c>
      <c r="B42" s="10">
        <v>0.32258064516129031</v>
      </c>
    </row>
    <row r="43" spans="1:2" x14ac:dyDescent="0.35">
      <c r="A43" s="9">
        <v>114</v>
      </c>
      <c r="B43" s="10">
        <v>0.33333333333333331</v>
      </c>
    </row>
    <row r="44" spans="1:2" x14ac:dyDescent="0.35">
      <c r="A44" s="9">
        <v>115</v>
      </c>
      <c r="B44" s="10">
        <v>0.34482758620689657</v>
      </c>
    </row>
    <row r="45" spans="1:2" x14ac:dyDescent="0.35">
      <c r="A45" s="9">
        <v>116</v>
      </c>
      <c r="B45" s="10">
        <v>0.35714285714285715</v>
      </c>
    </row>
    <row r="46" spans="1:2" x14ac:dyDescent="0.35">
      <c r="A46" s="9">
        <v>117</v>
      </c>
      <c r="B46" s="10">
        <v>0.37037037037037035</v>
      </c>
    </row>
    <row r="47" spans="1:2" x14ac:dyDescent="0.35">
      <c r="A47" s="9">
        <v>118</v>
      </c>
      <c r="B47" s="10">
        <v>0.4</v>
      </c>
    </row>
    <row r="48" spans="1:2" x14ac:dyDescent="0.35">
      <c r="A48" s="9">
        <v>119</v>
      </c>
      <c r="B48" s="10">
        <v>0.43478260869565222</v>
      </c>
    </row>
    <row r="49" spans="1:2" x14ac:dyDescent="0.35">
      <c r="A49" s="9">
        <v>120</v>
      </c>
      <c r="B49" s="10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F2B8-DED4-4719-B997-708E44CBDE02}">
  <dimension ref="A1:B5"/>
  <sheetViews>
    <sheetView workbookViewId="0">
      <selection activeCell="A5" sqref="A5"/>
    </sheetView>
  </sheetViews>
  <sheetFormatPr defaultRowHeight="14.5" x14ac:dyDescent="0.35"/>
  <sheetData>
    <row r="1" spans="1:2" x14ac:dyDescent="0.35">
      <c r="A1" t="s">
        <v>8</v>
      </c>
      <c r="B1" t="s">
        <v>9</v>
      </c>
    </row>
    <row r="2" spans="1:2" x14ac:dyDescent="0.35">
      <c r="A2">
        <v>1</v>
      </c>
      <c r="B2" s="11">
        <v>0.1</v>
      </c>
    </row>
    <row r="3" spans="1:2" x14ac:dyDescent="0.35">
      <c r="A3">
        <v>2</v>
      </c>
      <c r="B3" s="11">
        <v>0.2</v>
      </c>
    </row>
    <row r="4" spans="1:2" x14ac:dyDescent="0.35">
      <c r="A4">
        <v>3</v>
      </c>
      <c r="B4" s="11">
        <v>0.3</v>
      </c>
    </row>
    <row r="5" spans="1:2" x14ac:dyDescent="0.35">
      <c r="A5" s="3">
        <v>4</v>
      </c>
      <c r="B5" s="11">
        <v>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CBD8-BEF6-4B0B-80C0-94C3A34A813E}">
  <dimension ref="A1:B42"/>
  <sheetViews>
    <sheetView workbookViewId="0">
      <selection activeCell="A3" sqref="A3"/>
    </sheetView>
  </sheetViews>
  <sheetFormatPr defaultRowHeight="14.5" x14ac:dyDescent="0.35"/>
  <sheetData>
    <row r="1" spans="1:2" ht="28" x14ac:dyDescent="0.35">
      <c r="A1" s="12" t="s">
        <v>10</v>
      </c>
      <c r="B1" s="12" t="s">
        <v>11</v>
      </c>
    </row>
    <row r="2" spans="1:2" x14ac:dyDescent="0.35">
      <c r="A2" s="13">
        <v>50</v>
      </c>
      <c r="B2" s="14">
        <v>4.5999999999999999E-2</v>
      </c>
    </row>
    <row r="3" spans="1:2" x14ac:dyDescent="0.35">
      <c r="A3" s="13">
        <v>51</v>
      </c>
      <c r="B3" s="14">
        <v>4.5999999999999999E-2</v>
      </c>
    </row>
    <row r="4" spans="1:2" x14ac:dyDescent="0.35">
      <c r="A4" s="13">
        <v>52</v>
      </c>
      <c r="B4" s="14">
        <v>4.5999999999999999E-2</v>
      </c>
    </row>
    <row r="5" spans="1:2" x14ac:dyDescent="0.35">
      <c r="A5" s="13">
        <v>53</v>
      </c>
      <c r="B5" s="14">
        <v>4.5999999999999999E-2</v>
      </c>
    </row>
    <row r="6" spans="1:2" x14ac:dyDescent="0.35">
      <c r="A6" s="13">
        <v>54</v>
      </c>
      <c r="B6" s="14">
        <v>4.5999999999999999E-2</v>
      </c>
    </row>
    <row r="7" spans="1:2" x14ac:dyDescent="0.35">
      <c r="A7" s="13">
        <v>55</v>
      </c>
      <c r="B7" s="14">
        <v>4.5999999999999999E-2</v>
      </c>
    </row>
    <row r="8" spans="1:2" x14ac:dyDescent="0.35">
      <c r="A8" s="13">
        <v>56</v>
      </c>
      <c r="B8" s="14">
        <v>4.7500000000000001E-2</v>
      </c>
    </row>
    <row r="9" spans="1:2" x14ac:dyDescent="0.35">
      <c r="A9" s="13">
        <v>57</v>
      </c>
      <c r="B9" s="14">
        <v>4.9000000000000002E-2</v>
      </c>
    </row>
    <row r="10" spans="1:2" x14ac:dyDescent="0.35">
      <c r="A10" s="13">
        <v>58</v>
      </c>
      <c r="B10" s="14">
        <v>5.0500000000000003E-2</v>
      </c>
    </row>
    <row r="11" spans="1:2" x14ac:dyDescent="0.35">
      <c r="A11" s="13">
        <v>59</v>
      </c>
      <c r="B11" s="14">
        <v>5.2000000000000005E-2</v>
      </c>
    </row>
    <row r="12" spans="1:2" x14ac:dyDescent="0.35">
      <c r="A12" s="13">
        <v>60</v>
      </c>
      <c r="B12" s="14">
        <v>5.3500000000000006E-2</v>
      </c>
    </row>
    <row r="13" spans="1:2" x14ac:dyDescent="0.35">
      <c r="A13" s="13">
        <v>61</v>
      </c>
      <c r="B13" s="14">
        <v>5.5E-2</v>
      </c>
    </row>
    <row r="14" spans="1:2" x14ac:dyDescent="0.35">
      <c r="A14" s="13">
        <v>62</v>
      </c>
      <c r="B14" s="14">
        <v>5.6500000000000002E-2</v>
      </c>
    </row>
    <row r="15" spans="1:2" x14ac:dyDescent="0.35">
      <c r="A15" s="13">
        <v>63</v>
      </c>
      <c r="B15" s="14">
        <v>5.8000000000000003E-2</v>
      </c>
    </row>
    <row r="16" spans="1:2" x14ac:dyDescent="0.35">
      <c r="A16" s="13">
        <v>64</v>
      </c>
      <c r="B16" s="14">
        <v>5.9500000000000004E-2</v>
      </c>
    </row>
    <row r="17" spans="1:2" x14ac:dyDescent="0.35">
      <c r="A17" s="13">
        <v>65</v>
      </c>
      <c r="B17" s="14">
        <v>6.0500000000000005E-2</v>
      </c>
    </row>
    <row r="18" spans="1:2" x14ac:dyDescent="0.35">
      <c r="A18" s="13">
        <v>66</v>
      </c>
      <c r="B18" s="14">
        <v>6.1000000000000006E-2</v>
      </c>
    </row>
    <row r="19" spans="1:2" x14ac:dyDescent="0.35">
      <c r="A19" s="13">
        <v>67</v>
      </c>
      <c r="B19" s="14">
        <v>6.2E-2</v>
      </c>
    </row>
    <row r="20" spans="1:2" x14ac:dyDescent="0.35">
      <c r="A20" s="13">
        <v>68</v>
      </c>
      <c r="B20" s="14">
        <v>6.25E-2</v>
      </c>
    </row>
    <row r="21" spans="1:2" x14ac:dyDescent="0.35">
      <c r="A21" s="13">
        <v>69</v>
      </c>
      <c r="B21" s="14">
        <v>6.3500000000000001E-2</v>
      </c>
    </row>
    <row r="22" spans="1:2" x14ac:dyDescent="0.35">
      <c r="A22" s="13">
        <v>70</v>
      </c>
      <c r="B22" s="14">
        <v>6.4500000000000002E-2</v>
      </c>
    </row>
    <row r="23" spans="1:2" x14ac:dyDescent="0.35">
      <c r="A23" s="13">
        <v>71</v>
      </c>
      <c r="B23" s="14">
        <v>6.5500000000000003E-2</v>
      </c>
    </row>
    <row r="24" spans="1:2" x14ac:dyDescent="0.35">
      <c r="A24" s="13">
        <v>72</v>
      </c>
      <c r="B24" s="14">
        <v>6.6500000000000004E-2</v>
      </c>
    </row>
    <row r="25" spans="1:2" x14ac:dyDescent="0.35">
      <c r="A25" s="13">
        <v>73</v>
      </c>
      <c r="B25" s="14">
        <v>6.7500000000000004E-2</v>
      </c>
    </row>
    <row r="26" spans="1:2" x14ac:dyDescent="0.35">
      <c r="A26" s="13">
        <v>74</v>
      </c>
      <c r="B26" s="14">
        <v>6.9000000000000006E-2</v>
      </c>
    </row>
    <row r="27" spans="1:2" x14ac:dyDescent="0.35">
      <c r="A27" s="13">
        <v>75</v>
      </c>
      <c r="B27" s="14">
        <v>7.0500000000000007E-2</v>
      </c>
    </row>
    <row r="28" spans="1:2" x14ac:dyDescent="0.35">
      <c r="A28" s="13">
        <v>76</v>
      </c>
      <c r="B28" s="14">
        <v>7.2500000000000009E-2</v>
      </c>
    </row>
    <row r="29" spans="1:2" x14ac:dyDescent="0.35">
      <c r="A29" s="13">
        <v>77</v>
      </c>
      <c r="B29" s="14">
        <v>7.4499999999999997E-2</v>
      </c>
    </row>
    <row r="30" spans="1:2" x14ac:dyDescent="0.35">
      <c r="A30" s="13">
        <v>78</v>
      </c>
      <c r="B30" s="14">
        <v>7.6499999999999999E-2</v>
      </c>
    </row>
    <row r="31" spans="1:2" x14ac:dyDescent="0.35">
      <c r="A31" s="13">
        <v>79</v>
      </c>
      <c r="B31" s="14">
        <v>7.85E-2</v>
      </c>
    </row>
    <row r="32" spans="1:2" x14ac:dyDescent="0.35">
      <c r="A32" s="13">
        <v>80</v>
      </c>
      <c r="B32" s="14">
        <v>7.9500000000000001E-2</v>
      </c>
    </row>
    <row r="33" spans="1:2" x14ac:dyDescent="0.35">
      <c r="A33" s="13">
        <v>81</v>
      </c>
      <c r="B33" s="14">
        <v>8.0500000000000002E-2</v>
      </c>
    </row>
    <row r="34" spans="1:2" x14ac:dyDescent="0.35">
      <c r="A34" s="13">
        <v>82</v>
      </c>
      <c r="B34" s="14">
        <v>8.1500000000000003E-2</v>
      </c>
    </row>
    <row r="35" spans="1:2" x14ac:dyDescent="0.35">
      <c r="A35" s="13">
        <v>83</v>
      </c>
      <c r="B35" s="14">
        <v>8.2500000000000004E-2</v>
      </c>
    </row>
    <row r="36" spans="1:2" x14ac:dyDescent="0.35">
      <c r="A36" s="13">
        <v>84</v>
      </c>
      <c r="B36" s="14">
        <v>8.3500000000000005E-2</v>
      </c>
    </row>
    <row r="37" spans="1:2" x14ac:dyDescent="0.35">
      <c r="A37" s="13">
        <v>85</v>
      </c>
      <c r="B37" s="14">
        <v>8.4500000000000006E-2</v>
      </c>
    </row>
    <row r="38" spans="1:2" x14ac:dyDescent="0.35">
      <c r="A38" s="13">
        <v>86</v>
      </c>
      <c r="B38" s="14">
        <v>8.5500000000000007E-2</v>
      </c>
    </row>
    <row r="39" spans="1:2" x14ac:dyDescent="0.35">
      <c r="A39" s="13">
        <v>87</v>
      </c>
      <c r="B39" s="14">
        <v>8.6500000000000007E-2</v>
      </c>
    </row>
    <row r="40" spans="1:2" x14ac:dyDescent="0.35">
      <c r="A40" s="13">
        <v>88</v>
      </c>
      <c r="B40" s="14">
        <v>8.7500000000000008E-2</v>
      </c>
    </row>
    <row r="41" spans="1:2" x14ac:dyDescent="0.35">
      <c r="A41" s="13">
        <v>89</v>
      </c>
      <c r="B41" s="14">
        <v>8.8500000000000009E-2</v>
      </c>
    </row>
    <row r="42" spans="1:2" x14ac:dyDescent="0.35">
      <c r="A42" s="13">
        <v>90</v>
      </c>
      <c r="B42" s="14">
        <v>8.9499999999999996E-2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23D2-353E-4B0E-8891-C28113868EE3}">
  <dimension ref="A1:B38"/>
  <sheetViews>
    <sheetView tabSelected="1" workbookViewId="0">
      <selection activeCell="A5" sqref="A5"/>
    </sheetView>
  </sheetViews>
  <sheetFormatPr defaultRowHeight="14.5" x14ac:dyDescent="0.35"/>
  <cols>
    <col min="1" max="1" width="133" bestFit="1" customWidth="1"/>
  </cols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>
        <v>0.93109863275856697</v>
      </c>
    </row>
    <row r="3" spans="1:2" x14ac:dyDescent="0.35">
      <c r="A3" t="s">
        <v>15</v>
      </c>
      <c r="B3">
        <v>0.15320084932147501</v>
      </c>
    </row>
    <row r="4" spans="1:2" x14ac:dyDescent="0.35">
      <c r="A4" t="s">
        <v>16</v>
      </c>
      <c r="B4">
        <v>1.3774243574472601E-3</v>
      </c>
    </row>
    <row r="5" spans="1:2" x14ac:dyDescent="0.35">
      <c r="A5" t="s">
        <v>17</v>
      </c>
      <c r="B5">
        <v>-2.4189145876625702</v>
      </c>
    </row>
    <row r="6" spans="1:2" x14ac:dyDescent="0.35">
      <c r="A6" t="s">
        <v>18</v>
      </c>
      <c r="B6">
        <v>-0.24998567639018801</v>
      </c>
    </row>
    <row r="7" spans="1:2" x14ac:dyDescent="0.35">
      <c r="A7" t="s">
        <v>19</v>
      </c>
      <c r="B7">
        <v>-0.33872947332079201</v>
      </c>
    </row>
    <row r="8" spans="1:2" x14ac:dyDescent="0.35">
      <c r="A8" t="s">
        <v>20</v>
      </c>
      <c r="B8">
        <v>-0.15740082264781299</v>
      </c>
    </row>
    <row r="9" spans="1:2" x14ac:dyDescent="0.35">
      <c r="A9" t="s">
        <v>21</v>
      </c>
      <c r="B9">
        <v>-0.35867487276128301</v>
      </c>
    </row>
    <row r="10" spans="1:2" x14ac:dyDescent="0.35">
      <c r="A10" t="s">
        <v>22</v>
      </c>
      <c r="B10">
        <v>7.1840331285980205E-2</v>
      </c>
    </row>
    <row r="11" spans="1:2" x14ac:dyDescent="0.35">
      <c r="A11" t="s">
        <v>23</v>
      </c>
      <c r="B11">
        <v>2.1347278279244399</v>
      </c>
    </row>
    <row r="12" spans="1:2" x14ac:dyDescent="0.35">
      <c r="A12" t="s">
        <v>24</v>
      </c>
      <c r="B12">
        <v>3.3150546517247301</v>
      </c>
    </row>
    <row r="13" spans="1:2" x14ac:dyDescent="0.35">
      <c r="A13" t="s">
        <v>25</v>
      </c>
      <c r="B13">
        <v>-4.2144968129982496</v>
      </c>
    </row>
    <row r="14" spans="1:2" x14ac:dyDescent="0.35">
      <c r="A14" t="s">
        <v>26</v>
      </c>
      <c r="B14">
        <v>-3.1618444700694401</v>
      </c>
    </row>
    <row r="15" spans="1:2" x14ac:dyDescent="0.35">
      <c r="A15" t="s">
        <v>27</v>
      </c>
      <c r="B15">
        <v>-1.15717209704794</v>
      </c>
    </row>
    <row r="16" spans="1:2" x14ac:dyDescent="0.35">
      <c r="A16" t="s">
        <v>28</v>
      </c>
      <c r="B16">
        <v>35.440809707731603</v>
      </c>
    </row>
    <row r="17" spans="1:2" x14ac:dyDescent="0.35">
      <c r="A17" t="s">
        <v>29</v>
      </c>
      <c r="B17">
        <v>-4.7541332908994399E-2</v>
      </c>
    </row>
    <row r="18" spans="1:2" x14ac:dyDescent="0.35">
      <c r="A18" t="s">
        <v>30</v>
      </c>
      <c r="B18">
        <v>6.72806312295235E-4</v>
      </c>
    </row>
    <row r="19" spans="1:2" x14ac:dyDescent="0.35">
      <c r="A19" t="s">
        <v>31</v>
      </c>
      <c r="B19">
        <v>7.6314905050196599E-2</v>
      </c>
    </row>
    <row r="20" spans="1:2" x14ac:dyDescent="0.35">
      <c r="A20" t="s">
        <v>32</v>
      </c>
      <c r="B20">
        <v>2.3442435418892498E-3</v>
      </c>
    </row>
    <row r="21" spans="1:2" x14ac:dyDescent="0.35">
      <c r="A21" t="s">
        <v>33</v>
      </c>
      <c r="B21">
        <v>5.7758420756084498E-2</v>
      </c>
    </row>
    <row r="22" spans="1:2" x14ac:dyDescent="0.35">
      <c r="A22" t="s">
        <v>34</v>
      </c>
      <c r="B22">
        <v>1.56198120112268E-3</v>
      </c>
    </row>
    <row r="23" spans="1:2" x14ac:dyDescent="0.35">
      <c r="A23" t="s">
        <v>35</v>
      </c>
      <c r="B23">
        <v>6.8253228344840905E-2</v>
      </c>
    </row>
    <row r="24" spans="1:2" x14ac:dyDescent="0.35">
      <c r="A24" t="s">
        <v>36</v>
      </c>
      <c r="B24">
        <v>2.9154747299464201E-3</v>
      </c>
    </row>
    <row r="25" spans="1:2" x14ac:dyDescent="0.35">
      <c r="A25" t="s">
        <v>37</v>
      </c>
      <c r="B25">
        <v>-0.13472877939696601</v>
      </c>
    </row>
    <row r="26" spans="1:2" x14ac:dyDescent="0.35">
      <c r="A26" t="s">
        <v>38</v>
      </c>
      <c r="B26">
        <v>-6.5657611576184605E-2</v>
      </c>
    </row>
    <row r="27" spans="1:2" x14ac:dyDescent="0.35">
      <c r="A27" t="s">
        <v>39</v>
      </c>
      <c r="B27">
        <v>-9.2572345572902295E-2</v>
      </c>
    </row>
    <row r="28" spans="1:2" x14ac:dyDescent="0.35">
      <c r="A28" t="s">
        <v>40</v>
      </c>
      <c r="B28">
        <v>-0.31708844099602401</v>
      </c>
    </row>
    <row r="29" spans="1:2" x14ac:dyDescent="0.35">
      <c r="A29" t="s">
        <v>41</v>
      </c>
      <c r="B29">
        <v>0.46992882586886903</v>
      </c>
    </row>
    <row r="30" spans="1:2" x14ac:dyDescent="0.35">
      <c r="A30" t="s">
        <v>42</v>
      </c>
      <c r="B30">
        <v>0.472851885434387</v>
      </c>
    </row>
    <row r="31" spans="1:2" x14ac:dyDescent="0.35">
      <c r="A31" t="s">
        <v>43</v>
      </c>
      <c r="B31">
        <v>0.57767846267353695</v>
      </c>
    </row>
    <row r="32" spans="1:2" x14ac:dyDescent="0.35">
      <c r="A32" t="s">
        <v>44</v>
      </c>
      <c r="B32">
        <v>0.70507076311662897</v>
      </c>
    </row>
    <row r="33" spans="1:2" x14ac:dyDescent="0.35">
      <c r="A33" t="s">
        <v>45</v>
      </c>
      <c r="B33">
        <v>0.75719904977134</v>
      </c>
    </row>
    <row r="34" spans="1:2" x14ac:dyDescent="0.35">
      <c r="A34" t="s">
        <v>46</v>
      </c>
      <c r="B34">
        <v>0.54465071647337304</v>
      </c>
    </row>
    <row r="35" spans="1:2" x14ac:dyDescent="0.35">
      <c r="A35" t="s">
        <v>47</v>
      </c>
      <c r="B35">
        <v>-0.826641853779992</v>
      </c>
    </row>
    <row r="36" spans="1:2" x14ac:dyDescent="0.35">
      <c r="A36" t="s">
        <v>48</v>
      </c>
      <c r="B36">
        <v>-0.83943568672088498</v>
      </c>
    </row>
    <row r="37" spans="1:2" x14ac:dyDescent="0.35">
      <c r="A37" t="s">
        <v>49</v>
      </c>
      <c r="B37">
        <v>-0.90877656230926196</v>
      </c>
    </row>
    <row r="38" spans="1:2" x14ac:dyDescent="0.35">
      <c r="A38" t="s">
        <v>50</v>
      </c>
      <c r="B38">
        <v>1.5361022171699501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mortality_base_rates.csv</vt:lpstr>
      <vt:lpstr>mortality_improvement</vt:lpstr>
      <vt:lpstr>mortality_age_factors</vt:lpstr>
      <vt:lpstr>surrender_charges</vt:lpstr>
      <vt:lpstr>rmd_rates</vt:lpstr>
      <vt:lpstr>free_withdrawal_util</vt:lpstr>
      <vt:lpstr>payout_factors</vt:lpstr>
      <vt:lpstr>surrender_predictive_model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Kramer Howell</dc:creator>
  <cp:lastModifiedBy>Kramer Howell</cp:lastModifiedBy>
  <dcterms:created xsi:type="dcterms:W3CDTF">2026-01-15T15:02:44Z</dcterms:created>
  <dcterms:modified xsi:type="dcterms:W3CDTF">2026-01-15T15:06:50Z</dcterms:modified>
</cp:coreProperties>
</file>